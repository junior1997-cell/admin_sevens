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niorCercadoVasquez\Documents\2021 II\Seven Ingenieros SAC\"/>
    </mc:Choice>
  </mc:AlternateContent>
  <xr:revisionPtr revIDLastSave="0" documentId="13_ncr:1_{A987D9DB-E2CE-40C5-876B-3AF1A2A44375}" xr6:coauthVersionLast="47" xr6:coauthVersionMax="47" xr10:uidLastSave="{00000000-0000-0000-0000-000000000000}"/>
  <bookViews>
    <workbookView xWindow="-120" yWindow="-120" windowWidth="20730" windowHeight="11160" tabRatio="823" activeTab="12" xr2:uid="{E7849BB8-BD66-4104-B90B-321581DB4BEC}"/>
  </bookViews>
  <sheets>
    <sheet name="INICIO" sheetId="1" r:id="rId1"/>
    <sheet name="AÑADIR PROVEEDOR-2" sheetId="2" r:id="rId2"/>
    <sheet name="AÑADIR COMPRA" sheetId="3" r:id="rId3"/>
    <sheet name="PAGOS" sheetId="6" r:id="rId4"/>
    <sheet name="AÑADIR SERVICIO" sheetId="13" r:id="rId5"/>
    <sheet name="CONTROL DE SERVICIO" sheetId="15" r:id="rId6"/>
    <sheet name="PAGOS DE SERVICIOS" sheetId="14" r:id="rId7"/>
    <sheet name="TRABAJADORES" sheetId="7" r:id="rId8"/>
    <sheet name="ASISTENCIA TRABAJADORES-1" sheetId="11" r:id="rId9"/>
    <sheet name="QUINCENA-1" sheetId="10" r:id="rId10"/>
    <sheet name="PAGO-TRABAJADORES" sheetId="9" r:id="rId11"/>
    <sheet name="RESUMEN GENERAL" sheetId="12" r:id="rId12"/>
    <sheet name="Hoja1" sheetId="5" r:id="rId13"/>
  </sheets>
  <externalReferences>
    <externalReference r:id="rId14"/>
  </externalReferences>
  <definedNames>
    <definedName name="_xlnm._FilterDatabase" localSheetId="2" hidden="1">'AÑADIR COMPRA'!$A$1:$H$1</definedName>
    <definedName name="_xlnm._FilterDatabase" localSheetId="4" hidden="1">'AÑADIR SERVICIO'!$A$1:$K$1</definedName>
    <definedName name="_xlnm.Print_Area" localSheetId="9">'QUINCENA-1'!$A$1:$AG$21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5" l="1"/>
  <c r="E8" i="15" s="1"/>
  <c r="G8" i="15" s="1"/>
  <c r="C7" i="15"/>
  <c r="E7" i="15" s="1"/>
  <c r="G7" i="15" s="1"/>
  <c r="C6" i="15"/>
  <c r="E6" i="15" s="1"/>
  <c r="G6" i="15" s="1"/>
  <c r="C5" i="15"/>
  <c r="E5" i="15" s="1"/>
  <c r="G5" i="15" s="1"/>
  <c r="E4" i="15"/>
  <c r="G4" i="15" s="1"/>
  <c r="G9" i="15" l="1"/>
  <c r="E9" i="15"/>
  <c r="H4" i="13" l="1"/>
  <c r="J4" i="13" s="1"/>
  <c r="H5" i="13"/>
  <c r="H3" i="13"/>
  <c r="K6" i="14"/>
  <c r="A5" i="14"/>
  <c r="A4" i="14"/>
  <c r="A3" i="14" s="1"/>
  <c r="J5" i="13"/>
  <c r="A5" i="13"/>
  <c r="A4" i="13"/>
  <c r="A3" i="13" s="1"/>
  <c r="J3" i="13"/>
  <c r="F18" i="12"/>
  <c r="E18" i="12"/>
  <c r="F12" i="12"/>
  <c r="E12" i="12"/>
  <c r="F6" i="12"/>
  <c r="E6" i="12"/>
  <c r="E21" i="12" s="1"/>
  <c r="G17" i="12"/>
  <c r="A17" i="12"/>
  <c r="A16" i="12" s="1"/>
  <c r="A15" i="12" s="1"/>
  <c r="G16" i="12"/>
  <c r="G15" i="12"/>
  <c r="G18" i="12" s="1"/>
  <c r="G11" i="12"/>
  <c r="A11" i="12"/>
  <c r="G10" i="12"/>
  <c r="A10" i="12"/>
  <c r="A9" i="12" s="1"/>
  <c r="G9" i="12"/>
  <c r="A5" i="12"/>
  <c r="G4" i="12"/>
  <c r="A4" i="12"/>
  <c r="A3" i="12" s="1"/>
  <c r="G5" i="12"/>
  <c r="G3" i="12"/>
  <c r="K6" i="6"/>
  <c r="G4" i="3"/>
  <c r="G5" i="3"/>
  <c r="G6" i="3"/>
  <c r="A8" i="9"/>
  <c r="K4" i="11"/>
  <c r="K3" i="11"/>
  <c r="AD12" i="10"/>
  <c r="AD13" i="10"/>
  <c r="AD14" i="10"/>
  <c r="AD15" i="10"/>
  <c r="AD16" i="10"/>
  <c r="AD17" i="10"/>
  <c r="AD11" i="10"/>
  <c r="AB12" i="10"/>
  <c r="AB13" i="10"/>
  <c r="AB14" i="10"/>
  <c r="AB15" i="10"/>
  <c r="AB16" i="10"/>
  <c r="AE16" i="10" s="1"/>
  <c r="AG16" i="10" s="1"/>
  <c r="AB17" i="10"/>
  <c r="AB11" i="10"/>
  <c r="AB21" i="10" s="1"/>
  <c r="H4" i="11"/>
  <c r="L4" i="11" s="1"/>
  <c r="N4" i="11" s="1"/>
  <c r="H3" i="11"/>
  <c r="L3" i="11" s="1"/>
  <c r="N3" i="11" s="1"/>
  <c r="A4" i="11"/>
  <c r="A3" i="11" s="1"/>
  <c r="E17" i="10"/>
  <c r="D17" i="10"/>
  <c r="C17" i="10"/>
  <c r="B17" i="10"/>
  <c r="F16" i="10"/>
  <c r="E16" i="10"/>
  <c r="D16" i="10"/>
  <c r="C16" i="10"/>
  <c r="G16" i="10" s="1"/>
  <c r="B16" i="10"/>
  <c r="F15" i="10"/>
  <c r="E15" i="10"/>
  <c r="D15" i="10"/>
  <c r="C15" i="10"/>
  <c r="B15" i="10"/>
  <c r="F14" i="10"/>
  <c r="E14" i="10"/>
  <c r="D14" i="10"/>
  <c r="C14" i="10"/>
  <c r="B14" i="10"/>
  <c r="F13" i="10"/>
  <c r="E13" i="10"/>
  <c r="D13" i="10"/>
  <c r="C13" i="10"/>
  <c r="G13" i="10" s="1"/>
  <c r="B13" i="10"/>
  <c r="F12" i="10"/>
  <c r="E12" i="10"/>
  <c r="D12" i="10"/>
  <c r="C12" i="10"/>
  <c r="G12" i="10" s="1"/>
  <c r="B12" i="10"/>
  <c r="F11" i="10"/>
  <c r="E11" i="10"/>
  <c r="D11" i="10"/>
  <c r="C11" i="10"/>
  <c r="G11" i="10" s="1"/>
  <c r="B11" i="10"/>
  <c r="N10" i="10"/>
  <c r="O10" i="10" s="1"/>
  <c r="P10" i="10" s="1"/>
  <c r="Q10" i="10" s="1"/>
  <c r="R10" i="10" s="1"/>
  <c r="S10" i="10" s="1"/>
  <c r="T10" i="10" s="1"/>
  <c r="U10" i="10" s="1"/>
  <c r="V10" i="10" s="1"/>
  <c r="W10" i="10" s="1"/>
  <c r="X10" i="10" s="1"/>
  <c r="Y10" i="10" s="1"/>
  <c r="Z10" i="10" s="1"/>
  <c r="AA10" i="10" s="1"/>
  <c r="B5" i="10"/>
  <c r="B3" i="10"/>
  <c r="F21" i="12" l="1"/>
  <c r="G12" i="12"/>
  <c r="G6" i="12"/>
  <c r="G21" i="12" s="1"/>
  <c r="AE12" i="10"/>
  <c r="AE13" i="10"/>
  <c r="AG13" i="10" s="1"/>
  <c r="AE17" i="10"/>
  <c r="AG17" i="10" s="1"/>
  <c r="AE14" i="10"/>
  <c r="AG14" i="10" s="1"/>
  <c r="AE15" i="10"/>
  <c r="AG15" i="10" s="1"/>
  <c r="AE11" i="10"/>
  <c r="AG11" i="10" s="1"/>
  <c r="AG12" i="10" l="1"/>
  <c r="AG18" i="10"/>
  <c r="A3" i="9" l="1"/>
  <c r="A4" i="7"/>
  <c r="A3" i="7" s="1"/>
  <c r="A5" i="6" l="1"/>
  <c r="A4" i="6" s="1"/>
  <c r="A3" i="6" s="1"/>
  <c r="A5" i="2"/>
  <c r="A4" i="2" s="1"/>
  <c r="A3" i="2" s="1"/>
  <c r="A6" i="3"/>
  <c r="A5" i="3" s="1"/>
  <c r="A4" i="3" s="1"/>
  <c r="A3" i="3" s="1"/>
</calcChain>
</file>

<file path=xl/sharedStrings.xml><?xml version="1.0" encoding="utf-8"?>
<sst xmlns="http://schemas.openxmlformats.org/spreadsheetml/2006/main" count="339" uniqueCount="134">
  <si>
    <t>RUC</t>
  </si>
  <si>
    <t>NOMBRE</t>
  </si>
  <si>
    <t>SEVEN´S INGENIEROS S.A.C.</t>
  </si>
  <si>
    <t>DIRECCION</t>
  </si>
  <si>
    <t>EMPRESA</t>
  </si>
  <si>
    <t>DESCRIPCIÓN</t>
  </si>
  <si>
    <t>MONTO</t>
  </si>
  <si>
    <t>ESTADO</t>
  </si>
  <si>
    <t>FECHA</t>
  </si>
  <si>
    <t>SALDO</t>
  </si>
  <si>
    <t>TELEFONO</t>
  </si>
  <si>
    <t>20/09/2021</t>
  </si>
  <si>
    <t>Item</t>
  </si>
  <si>
    <t>YUNGAY#151, SANTA ROSA, CHICLAYO</t>
  </si>
  <si>
    <t>MADERA</t>
  </si>
  <si>
    <t>FORMA DE PAGO</t>
  </si>
  <si>
    <t>Efectivo</t>
  </si>
  <si>
    <t>Transferencia</t>
  </si>
  <si>
    <t>Credito</t>
  </si>
  <si>
    <t>24/06/1995</t>
  </si>
  <si>
    <t>BANCO</t>
  </si>
  <si>
    <t>CUENTA BANCARIA</t>
  </si>
  <si>
    <t>TITULAR DE LA CUENTA</t>
  </si>
  <si>
    <t>BCP</t>
  </si>
  <si>
    <t>BBVA</t>
  </si>
  <si>
    <t>SCOTIA BANK</t>
  </si>
  <si>
    <t>INTERBANK</t>
  </si>
  <si>
    <t>DETALLE</t>
  </si>
  <si>
    <t>BENEFICIARIO</t>
  </si>
  <si>
    <t>CUENTA DE DESTINO</t>
  </si>
  <si>
    <t>TITULAR DE CUENTA</t>
  </si>
  <si>
    <t>Pool</t>
  </si>
  <si>
    <t>Chifles</t>
  </si>
  <si>
    <t>ITEM</t>
  </si>
  <si>
    <t>NACIÓN</t>
  </si>
  <si>
    <t>CUENTA-DETRACCIONES</t>
  </si>
  <si>
    <t>YUNGA</t>
  </si>
  <si>
    <t>POOL BRIONES</t>
  </si>
  <si>
    <t>NUMERO DE OPERACIÓN</t>
  </si>
  <si>
    <t>TIPO DE PAGO</t>
  </si>
  <si>
    <t>Detracción</t>
  </si>
  <si>
    <t>Usuario</t>
  </si>
  <si>
    <t>MAA</t>
  </si>
  <si>
    <t>001</t>
  </si>
  <si>
    <t>APELLIDOS</t>
  </si>
  <si>
    <t>FECHA DE NACIMIENTO</t>
  </si>
  <si>
    <t>NOMBRES</t>
  </si>
  <si>
    <t>DNI</t>
  </si>
  <si>
    <t>EDAD</t>
  </si>
  <si>
    <t>CARGO</t>
  </si>
  <si>
    <t>DESEMPEÑO</t>
  </si>
  <si>
    <t>TIPO DE TRABAJDOR</t>
  </si>
  <si>
    <t>Técnico</t>
  </si>
  <si>
    <t>Obrero</t>
  </si>
  <si>
    <t>CARGO DE TRABAJDOR</t>
  </si>
  <si>
    <t>Operario</t>
  </si>
  <si>
    <t>Maestro</t>
  </si>
  <si>
    <t>Oficial</t>
  </si>
  <si>
    <t>Peón</t>
  </si>
  <si>
    <t>TIPO</t>
  </si>
  <si>
    <t>Maestro de obra</t>
  </si>
  <si>
    <t>Alfonso</t>
  </si>
  <si>
    <t>Carpintero</t>
  </si>
  <si>
    <t>Pool S.</t>
  </si>
  <si>
    <t>Briones Sánches</t>
  </si>
  <si>
    <t>Pool Briones</t>
  </si>
  <si>
    <t>SUELDO (MENSUAL)</t>
  </si>
  <si>
    <t>SUELDO (DIARIO)</t>
  </si>
  <si>
    <t>SUELDO (HORA)</t>
  </si>
  <si>
    <t>Faaaaa</t>
  </si>
  <si>
    <t>Alfonso fffff</t>
  </si>
  <si>
    <t xml:space="preserve">CONTROL DE PAGOS - QUINCENA 1 (01 AL 15 SETIEMBRE)
</t>
  </si>
  <si>
    <t xml:space="preserve">UBICACIÓN: Carretera Arequipa km.6,Juliaca, en el campus universitario de la UPeU.
</t>
  </si>
  <si>
    <t xml:space="preserve">EMPRESA: SEVEN´S INGENIEROS S.A.C.
</t>
  </si>
  <si>
    <t xml:space="preserve">FECHA: 
</t>
  </si>
  <si>
    <t>Nombre completo</t>
  </si>
  <si>
    <t>Cargo</t>
  </si>
  <si>
    <t>CELULAR</t>
  </si>
  <si>
    <t>Cuenta bancaria</t>
  </si>
  <si>
    <t>HORAS DE TRABAJO POR DIA</t>
  </si>
  <si>
    <t>1° PAGO QUINCENAL</t>
  </si>
  <si>
    <t>TITULAR</t>
  </si>
  <si>
    <t>N°</t>
  </si>
  <si>
    <t>D</t>
  </si>
  <si>
    <t>L</t>
  </si>
  <si>
    <t>M</t>
  </si>
  <si>
    <t>J</t>
  </si>
  <si>
    <t>V</t>
  </si>
  <si>
    <t>s</t>
  </si>
  <si>
    <t>395-6393001-0-65</t>
  </si>
  <si>
    <t>405-02703540-0-36</t>
  </si>
  <si>
    <t>495-03744129-0-26</t>
  </si>
  <si>
    <t>495-03699864-0-13</t>
  </si>
  <si>
    <t>SUBCONTRATO (NO ESTA EN PLANILLA)</t>
  </si>
  <si>
    <t>TOTAL A PAGAR</t>
  </si>
  <si>
    <t>Con dominical</t>
  </si>
  <si>
    <t>Sin dominical</t>
  </si>
  <si>
    <t xml:space="preserve">QUINCENA -1 </t>
  </si>
  <si>
    <t>HORAS</t>
  </si>
  <si>
    <t>SABATICAL</t>
  </si>
  <si>
    <t>PAGO / HORA</t>
  </si>
  <si>
    <t>PAGO / JORNAL</t>
  </si>
  <si>
    <t>SUELDO MENSUAL</t>
  </si>
  <si>
    <t>QUINCENA -2</t>
  </si>
  <si>
    <t>TOTAL</t>
  </si>
  <si>
    <t>PAGADO</t>
  </si>
  <si>
    <t>EN PROCESO DE PAGO</t>
  </si>
  <si>
    <t>SIN PAGAR</t>
  </si>
  <si>
    <t>PAGOS</t>
  </si>
  <si>
    <t>20/09/2022</t>
  </si>
  <si>
    <t>20/09/2023</t>
  </si>
  <si>
    <t>COMPRAS</t>
  </si>
  <si>
    <t>PERSONAL</t>
  </si>
  <si>
    <t>SERVICIOS</t>
  </si>
  <si>
    <t>ALQUILER EXCAVADORA</t>
  </si>
  <si>
    <t>COSTO UNITARIO</t>
  </si>
  <si>
    <t>UNIDAD</t>
  </si>
  <si>
    <t>hora</t>
  </si>
  <si>
    <t>día</t>
  </si>
  <si>
    <t>CANTIDAD</t>
  </si>
  <si>
    <t>ALQUILER DEMOLEDOR</t>
  </si>
  <si>
    <t>ALQUILER COMPRESORA</t>
  </si>
  <si>
    <t>CONTROL DE HORAS DE COMPRESORA NEUMATICA</t>
  </si>
  <si>
    <t>Fecha</t>
  </si>
  <si>
    <t>Horometro Inicial</t>
  </si>
  <si>
    <t>Horometro Final</t>
  </si>
  <si>
    <t>Horas</t>
  </si>
  <si>
    <t>Costo Unitario</t>
  </si>
  <si>
    <t>Costo Parcial</t>
  </si>
  <si>
    <t>03/09/20121 - 09/09/2021</t>
  </si>
  <si>
    <t>10/09/20121 - 12/09/2021</t>
  </si>
  <si>
    <t>NANCY</t>
  </si>
  <si>
    <t>KD</t>
  </si>
  <si>
    <t>PPPP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</si>
</sst>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S/&quot;\ * #,##0.00_-;\-&quot;S/&quot;\ * #,##0.00_-;_-&quot;S/&quot;\ * &quot;-&quot;??_-;_-@_-"/>
    <numFmt numFmtId="165" formatCode="&quot;S/&quot;\ #,##0.00"/>
    <numFmt numFmtId="166" formatCode="#,##0.00\ &quot;horas&quot;"/>
    <numFmt numFmtId="167" formatCode="#,##0\ &quot;sabatical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65" fontId="0" fillId="3" borderId="1" xfId="0" applyNumberFormat="1" applyFill="1" applyBorder="1" applyAlignment="1">
      <alignment horizontal="left" vertical="center"/>
    </xf>
    <xf numFmtId="0" fontId="0" fillId="0" borderId="1" xfId="0" applyBorder="1" applyAlignment="1">
      <alignment horizontal="right"/>
    </xf>
    <xf numFmtId="0" fontId="0" fillId="3" borderId="1" xfId="0" applyFill="1" applyBorder="1" applyAlignment="1">
      <alignment horizontal="right"/>
    </xf>
    <xf numFmtId="49" fontId="0" fillId="3" borderId="1" xfId="0" applyNumberForma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165" fontId="0" fillId="3" borderId="2" xfId="0" applyNumberFormat="1" applyFill="1" applyBorder="1" applyAlignment="1">
      <alignment horizontal="right" vertical="center"/>
    </xf>
    <xf numFmtId="165" fontId="0" fillId="3" borderId="0" xfId="0" applyNumberFormat="1" applyFill="1" applyBorder="1" applyAlignment="1">
      <alignment horizontal="right" vertical="center"/>
    </xf>
    <xf numFmtId="14" fontId="0" fillId="0" borderId="1" xfId="0" applyNumberFormat="1" applyBorder="1" applyAlignment="1">
      <alignment horizontal="center"/>
    </xf>
    <xf numFmtId="0" fontId="2" fillId="3" borderId="0" xfId="0" applyFont="1" applyFill="1"/>
    <xf numFmtId="0" fontId="0" fillId="0" borderId="1" xfId="0" applyBorder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3" borderId="6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49" fontId="2" fillId="3" borderId="1" xfId="0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3" fillId="4" borderId="14" xfId="0" applyNumberFormat="1" applyFont="1" applyFill="1" applyBorder="1" applyAlignment="1">
      <alignment horizontal="center" vertical="center"/>
    </xf>
    <xf numFmtId="0" fontId="2" fillId="5" borderId="0" xfId="0" applyFont="1" applyFill="1"/>
    <xf numFmtId="0" fontId="2" fillId="6" borderId="0" xfId="0" applyFont="1" applyFill="1"/>
    <xf numFmtId="0" fontId="0" fillId="6" borderId="1" xfId="0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3" fillId="3" borderId="1" xfId="0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65" fontId="2" fillId="3" borderId="13" xfId="0" applyNumberFormat="1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0" fillId="3" borderId="0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0" fillId="3" borderId="16" xfId="0" applyFill="1" applyBorder="1" applyAlignment="1">
      <alignment horizontal="left" vertical="center"/>
    </xf>
    <xf numFmtId="14" fontId="0" fillId="3" borderId="16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2" fontId="0" fillId="3" borderId="1" xfId="0" applyNumberFormat="1" applyFill="1" applyBorder="1" applyAlignment="1">
      <alignment horizontal="right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2" borderId="2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3" fillId="3" borderId="5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3" borderId="7" xfId="0" applyFont="1" applyFill="1" applyBorder="1" applyAlignment="1">
      <alignment horizontal="left" vertical="top" wrapText="1"/>
    </xf>
    <xf numFmtId="0" fontId="3" fillId="3" borderId="8" xfId="0" applyFont="1" applyFill="1" applyBorder="1" applyAlignment="1">
      <alignment horizontal="left" vertical="top" wrapText="1"/>
    </xf>
    <xf numFmtId="0" fontId="3" fillId="3" borderId="9" xfId="0" applyFont="1" applyFill="1" applyBorder="1" applyAlignment="1">
      <alignment horizontal="left" vertical="top" wrapText="1"/>
    </xf>
    <xf numFmtId="0" fontId="3" fillId="3" borderId="10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95249</xdr:rowOff>
    </xdr:from>
    <xdr:to>
      <xdr:col>3</xdr:col>
      <xdr:colOff>1533525</xdr:colOff>
      <xdr:row>6</xdr:row>
      <xdr:rowOff>57150</xdr:rowOff>
    </xdr:to>
    <xdr:sp macro="[0]!Rectángulo3_Haga_clic_en" textlink="">
      <xdr:nvSpPr>
        <xdr:cNvPr id="4" name="Rectángulo 3">
          <a:extLst>
            <a:ext uri="{FF2B5EF4-FFF2-40B4-BE49-F238E27FC236}">
              <a16:creationId xmlns:a16="http://schemas.microsoft.com/office/drawing/2014/main" id="{7A8ECEF7-34C0-484B-922E-587C14DD1E34}"/>
            </a:ext>
          </a:extLst>
        </xdr:cNvPr>
        <xdr:cNvSpPr/>
      </xdr:nvSpPr>
      <xdr:spPr>
        <a:xfrm>
          <a:off x="933450" y="857249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AÑADIR PROVEEDOR</a:t>
          </a:r>
        </a:p>
      </xdr:txBody>
    </xdr:sp>
    <xdr:clientData/>
  </xdr:twoCellAnchor>
  <xdr:twoCellAnchor>
    <xdr:from>
      <xdr:col>3</xdr:col>
      <xdr:colOff>1714500</xdr:colOff>
      <xdr:row>2</xdr:row>
      <xdr:rowOff>47625</xdr:rowOff>
    </xdr:from>
    <xdr:to>
      <xdr:col>6</xdr:col>
      <xdr:colOff>590550</xdr:colOff>
      <xdr:row>4</xdr:row>
      <xdr:rowOff>9526</xdr:rowOff>
    </xdr:to>
    <xdr:sp macro="[0]!Rectángulo4_Haga_clic_en" textlink="">
      <xdr:nvSpPr>
        <xdr:cNvPr id="6" name="Rectángulo 5">
          <a:extLst>
            <a:ext uri="{FF2B5EF4-FFF2-40B4-BE49-F238E27FC236}">
              <a16:creationId xmlns:a16="http://schemas.microsoft.com/office/drawing/2014/main" id="{4935F76D-513A-4C59-AEDE-FA3BCF0DE4EC}"/>
            </a:ext>
          </a:extLst>
        </xdr:cNvPr>
        <xdr:cNvSpPr/>
      </xdr:nvSpPr>
      <xdr:spPr>
        <a:xfrm>
          <a:off x="3457575" y="428625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AÑADIR COMPRA</a:t>
          </a:r>
        </a:p>
      </xdr:txBody>
    </xdr:sp>
    <xdr:clientData/>
  </xdr:twoCellAnchor>
  <xdr:twoCellAnchor>
    <xdr:from>
      <xdr:col>1</xdr:col>
      <xdr:colOff>123825</xdr:colOff>
      <xdr:row>10</xdr:row>
      <xdr:rowOff>104775</xdr:rowOff>
    </xdr:from>
    <xdr:to>
      <xdr:col>3</xdr:col>
      <xdr:colOff>1485900</xdr:colOff>
      <xdr:row>12</xdr:row>
      <xdr:rowOff>66676</xdr:rowOff>
    </xdr:to>
    <xdr:sp macro="[0]!Rectángulo6_Haga_clic_en" textlink="">
      <xdr:nvSpPr>
        <xdr:cNvPr id="5" name="Rectángulo 4">
          <a:extLst>
            <a:ext uri="{FF2B5EF4-FFF2-40B4-BE49-F238E27FC236}">
              <a16:creationId xmlns:a16="http://schemas.microsoft.com/office/drawing/2014/main" id="{E8289950-E6D3-42EF-A876-14EC441BB2E5}"/>
            </a:ext>
          </a:extLst>
        </xdr:cNvPr>
        <xdr:cNvSpPr/>
      </xdr:nvSpPr>
      <xdr:spPr>
        <a:xfrm>
          <a:off x="885825" y="2009775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AÑADIR TRABAJADOR</a:t>
          </a:r>
        </a:p>
      </xdr:txBody>
    </xdr:sp>
    <xdr:clientData/>
  </xdr:twoCellAnchor>
  <xdr:twoCellAnchor>
    <xdr:from>
      <xdr:col>6</xdr:col>
      <xdr:colOff>1000125</xdr:colOff>
      <xdr:row>10</xdr:row>
      <xdr:rowOff>95250</xdr:rowOff>
    </xdr:from>
    <xdr:to>
      <xdr:col>8</xdr:col>
      <xdr:colOff>152400</xdr:colOff>
      <xdr:row>12</xdr:row>
      <xdr:rowOff>57151</xdr:rowOff>
    </xdr:to>
    <xdr:sp macro="[0]!Rectángulo6_Haga_clic_en" textlink="">
      <xdr:nvSpPr>
        <xdr:cNvPr id="8" name="Rectángulo 7">
          <a:extLst>
            <a:ext uri="{FF2B5EF4-FFF2-40B4-BE49-F238E27FC236}">
              <a16:creationId xmlns:a16="http://schemas.microsoft.com/office/drawing/2014/main" id="{B8E14987-BF18-4AC8-AC81-BD73DB46A0D0}"/>
            </a:ext>
          </a:extLst>
        </xdr:cNvPr>
        <xdr:cNvSpPr/>
      </xdr:nvSpPr>
      <xdr:spPr>
        <a:xfrm>
          <a:off x="6210300" y="2000250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PAGO</a:t>
          </a:r>
          <a:r>
            <a:rPr lang="es-PE" sz="1400" baseline="0"/>
            <a:t> DE TRABAJADORES</a:t>
          </a:r>
          <a:endParaRPr lang="es-PE" sz="1400"/>
        </a:p>
      </xdr:txBody>
    </xdr:sp>
    <xdr:clientData/>
  </xdr:twoCellAnchor>
  <xdr:twoCellAnchor>
    <xdr:from>
      <xdr:col>6</xdr:col>
      <xdr:colOff>990600</xdr:colOff>
      <xdr:row>2</xdr:row>
      <xdr:rowOff>47625</xdr:rowOff>
    </xdr:from>
    <xdr:to>
      <xdr:col>8</xdr:col>
      <xdr:colOff>142875</xdr:colOff>
      <xdr:row>4</xdr:row>
      <xdr:rowOff>9526</xdr:rowOff>
    </xdr:to>
    <xdr:sp macro="[0]!Rectángulo4_Haga_clic_en" textlink="">
      <xdr:nvSpPr>
        <xdr:cNvPr id="9" name="Rectángulo 8">
          <a:extLst>
            <a:ext uri="{FF2B5EF4-FFF2-40B4-BE49-F238E27FC236}">
              <a16:creationId xmlns:a16="http://schemas.microsoft.com/office/drawing/2014/main" id="{CB55272F-2CCB-49DB-8237-A13A403EF537}"/>
            </a:ext>
          </a:extLst>
        </xdr:cNvPr>
        <xdr:cNvSpPr/>
      </xdr:nvSpPr>
      <xdr:spPr>
        <a:xfrm>
          <a:off x="6200775" y="428625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RESUMEN DE COMPRAS</a:t>
          </a:r>
        </a:p>
      </xdr:txBody>
    </xdr:sp>
    <xdr:clientData/>
  </xdr:twoCellAnchor>
  <xdr:twoCellAnchor>
    <xdr:from>
      <xdr:col>3</xdr:col>
      <xdr:colOff>1704975</xdr:colOff>
      <xdr:row>10</xdr:row>
      <xdr:rowOff>95250</xdr:rowOff>
    </xdr:from>
    <xdr:to>
      <xdr:col>6</xdr:col>
      <xdr:colOff>790575</xdr:colOff>
      <xdr:row>12</xdr:row>
      <xdr:rowOff>57151</xdr:rowOff>
    </xdr:to>
    <xdr:sp macro="[0]!Rectángulo6_Haga_clic_en" textlink="">
      <xdr:nvSpPr>
        <xdr:cNvPr id="11" name="Rectángulo 10">
          <a:extLst>
            <a:ext uri="{FF2B5EF4-FFF2-40B4-BE49-F238E27FC236}">
              <a16:creationId xmlns:a16="http://schemas.microsoft.com/office/drawing/2014/main" id="{2442D65A-01C3-4B85-AE6A-E047C095BF17}"/>
            </a:ext>
          </a:extLst>
        </xdr:cNvPr>
        <xdr:cNvSpPr/>
      </xdr:nvSpPr>
      <xdr:spPr>
        <a:xfrm>
          <a:off x="3448050" y="2000250"/>
          <a:ext cx="255270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ASISTENCIA DE TRABAJADORES</a:t>
          </a:r>
        </a:p>
      </xdr:txBody>
    </xdr:sp>
    <xdr:clientData/>
  </xdr:twoCellAnchor>
  <xdr:twoCellAnchor>
    <xdr:from>
      <xdr:col>1</xdr:col>
      <xdr:colOff>114300</xdr:colOff>
      <xdr:row>14</xdr:row>
      <xdr:rowOff>171450</xdr:rowOff>
    </xdr:from>
    <xdr:to>
      <xdr:col>3</xdr:col>
      <xdr:colOff>1485900</xdr:colOff>
      <xdr:row>16</xdr:row>
      <xdr:rowOff>85725</xdr:rowOff>
    </xdr:to>
    <xdr:sp macro="[0]!Rectángulo5_Haga_clic_en" textlink="">
      <xdr:nvSpPr>
        <xdr:cNvPr id="10" name="Rectángulo 9">
          <a:extLst>
            <a:ext uri="{FF2B5EF4-FFF2-40B4-BE49-F238E27FC236}">
              <a16:creationId xmlns:a16="http://schemas.microsoft.com/office/drawing/2014/main" id="{A64679DA-7463-4CC7-9B21-B12132E2C4FF}"/>
            </a:ext>
          </a:extLst>
        </xdr:cNvPr>
        <xdr:cNvSpPr/>
      </xdr:nvSpPr>
      <xdr:spPr>
        <a:xfrm>
          <a:off x="876300" y="2838450"/>
          <a:ext cx="235267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RESUMEN GENERAL</a:t>
          </a:r>
        </a:p>
      </xdr:txBody>
    </xdr:sp>
    <xdr:clientData/>
  </xdr:twoCellAnchor>
  <xdr:twoCellAnchor>
    <xdr:from>
      <xdr:col>3</xdr:col>
      <xdr:colOff>1809750</xdr:colOff>
      <xdr:row>6</xdr:row>
      <xdr:rowOff>9525</xdr:rowOff>
    </xdr:from>
    <xdr:to>
      <xdr:col>6</xdr:col>
      <xdr:colOff>685800</xdr:colOff>
      <xdr:row>7</xdr:row>
      <xdr:rowOff>161926</xdr:rowOff>
    </xdr:to>
    <xdr:sp macro="[0]!Rectángulo4_Haga_clic_en" textlink="">
      <xdr:nvSpPr>
        <xdr:cNvPr id="12" name="Rectángulo 11">
          <a:extLst>
            <a:ext uri="{FF2B5EF4-FFF2-40B4-BE49-F238E27FC236}">
              <a16:creationId xmlns:a16="http://schemas.microsoft.com/office/drawing/2014/main" id="{9EABEC6E-B52B-4D93-AE50-0F051740B960}"/>
            </a:ext>
          </a:extLst>
        </xdr:cNvPr>
        <xdr:cNvSpPr/>
      </xdr:nvSpPr>
      <xdr:spPr>
        <a:xfrm>
          <a:off x="3552825" y="1152525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AÑADIR SERVICIO</a:t>
          </a:r>
        </a:p>
      </xdr:txBody>
    </xdr:sp>
    <xdr:clientData/>
  </xdr:twoCellAnchor>
  <xdr:twoCellAnchor>
    <xdr:from>
      <xdr:col>8</xdr:col>
      <xdr:colOff>552450</xdr:colOff>
      <xdr:row>6</xdr:row>
      <xdr:rowOff>47625</xdr:rowOff>
    </xdr:from>
    <xdr:to>
      <xdr:col>11</xdr:col>
      <xdr:colOff>285750</xdr:colOff>
      <xdr:row>8</xdr:row>
      <xdr:rowOff>9526</xdr:rowOff>
    </xdr:to>
    <xdr:sp macro="[0]!Rectángulo4_Haga_clic_en" textlink="">
      <xdr:nvSpPr>
        <xdr:cNvPr id="13" name="Rectángulo 12">
          <a:extLst>
            <a:ext uri="{FF2B5EF4-FFF2-40B4-BE49-F238E27FC236}">
              <a16:creationId xmlns:a16="http://schemas.microsoft.com/office/drawing/2014/main" id="{B77BF4E1-094F-4971-A839-C79955EDEF08}"/>
            </a:ext>
          </a:extLst>
        </xdr:cNvPr>
        <xdr:cNvSpPr/>
      </xdr:nvSpPr>
      <xdr:spPr>
        <a:xfrm>
          <a:off x="8953500" y="1190625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RESUMEN DE SERVICIO</a:t>
          </a:r>
        </a:p>
      </xdr:txBody>
    </xdr:sp>
    <xdr:clientData/>
  </xdr:twoCellAnchor>
  <xdr:twoCellAnchor>
    <xdr:from>
      <xdr:col>6</xdr:col>
      <xdr:colOff>1009650</xdr:colOff>
      <xdr:row>6</xdr:row>
      <xdr:rowOff>38100</xdr:rowOff>
    </xdr:from>
    <xdr:to>
      <xdr:col>8</xdr:col>
      <xdr:colOff>161925</xdr:colOff>
      <xdr:row>8</xdr:row>
      <xdr:rowOff>1</xdr:rowOff>
    </xdr:to>
    <xdr:sp macro="[0]!Rectángulo4_Haga_clic_en" textlink="">
      <xdr:nvSpPr>
        <xdr:cNvPr id="14" name="Rectángulo 13">
          <a:extLst>
            <a:ext uri="{FF2B5EF4-FFF2-40B4-BE49-F238E27FC236}">
              <a16:creationId xmlns:a16="http://schemas.microsoft.com/office/drawing/2014/main" id="{FA55F246-B905-4330-8C7F-B2CC589383FD}"/>
            </a:ext>
          </a:extLst>
        </xdr:cNvPr>
        <xdr:cNvSpPr/>
      </xdr:nvSpPr>
      <xdr:spPr>
        <a:xfrm>
          <a:off x="6219825" y="1181100"/>
          <a:ext cx="2343150" cy="3429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/>
            <a:t>CONTROL DE SERVICIO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98978</xdr:colOff>
      <xdr:row>3</xdr:row>
      <xdr:rowOff>33131</xdr:rowOff>
    </xdr:from>
    <xdr:to>
      <xdr:col>5</xdr:col>
      <xdr:colOff>1118153</xdr:colOff>
      <xdr:row>3</xdr:row>
      <xdr:rowOff>289893</xdr:rowOff>
    </xdr:to>
    <xdr:sp macro="[0]!Rectángulo5_Haga_clic_en" textlink="">
      <xdr:nvSpPr>
        <xdr:cNvPr id="5" name="Rectángulo 4">
          <a:extLst>
            <a:ext uri="{FF2B5EF4-FFF2-40B4-BE49-F238E27FC236}">
              <a16:creationId xmlns:a16="http://schemas.microsoft.com/office/drawing/2014/main" id="{D3AE8C0B-F28A-4D92-AEC8-CF4A36998658}"/>
            </a:ext>
          </a:extLst>
        </xdr:cNvPr>
        <xdr:cNvSpPr/>
      </xdr:nvSpPr>
      <xdr:spPr>
        <a:xfrm>
          <a:off x="7395956" y="728870"/>
          <a:ext cx="1019175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AÑADIR</a:t>
          </a:r>
          <a:r>
            <a:rPr lang="es-PE" sz="1100" baseline="0"/>
            <a:t> PAGO</a:t>
          </a:r>
          <a:endParaRPr lang="es-PE" sz="1100"/>
        </a:p>
      </xdr:txBody>
    </xdr:sp>
    <xdr:clientData/>
  </xdr:twoCellAnchor>
  <xdr:twoCellAnchor>
    <xdr:from>
      <xdr:col>5</xdr:col>
      <xdr:colOff>82826</xdr:colOff>
      <xdr:row>4</xdr:row>
      <xdr:rowOff>24848</xdr:rowOff>
    </xdr:from>
    <xdr:to>
      <xdr:col>5</xdr:col>
      <xdr:colOff>1102001</xdr:colOff>
      <xdr:row>4</xdr:row>
      <xdr:rowOff>281610</xdr:rowOff>
    </xdr:to>
    <xdr:sp macro="[0]!Rectángulo5_Haga_clic_en" textlink="">
      <xdr:nvSpPr>
        <xdr:cNvPr id="6" name="Rectángulo 5">
          <a:extLst>
            <a:ext uri="{FF2B5EF4-FFF2-40B4-BE49-F238E27FC236}">
              <a16:creationId xmlns:a16="http://schemas.microsoft.com/office/drawing/2014/main" id="{A17737D7-B545-4D68-87B0-E7FDE691E4C6}"/>
            </a:ext>
          </a:extLst>
        </xdr:cNvPr>
        <xdr:cNvSpPr/>
      </xdr:nvSpPr>
      <xdr:spPr>
        <a:xfrm>
          <a:off x="7379804" y="1035326"/>
          <a:ext cx="1019175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AÑADIR</a:t>
          </a:r>
          <a:r>
            <a:rPr lang="es-PE" sz="1100" baseline="0"/>
            <a:t> PAGO</a:t>
          </a:r>
          <a:endParaRPr lang="es-PE" sz="1100"/>
        </a:p>
      </xdr:txBody>
    </xdr:sp>
    <xdr:clientData/>
  </xdr:twoCellAnchor>
  <xdr:twoCellAnchor>
    <xdr:from>
      <xdr:col>5</xdr:col>
      <xdr:colOff>66261</xdr:colOff>
      <xdr:row>5</xdr:row>
      <xdr:rowOff>33131</xdr:rowOff>
    </xdr:from>
    <xdr:to>
      <xdr:col>5</xdr:col>
      <xdr:colOff>1085436</xdr:colOff>
      <xdr:row>5</xdr:row>
      <xdr:rowOff>289893</xdr:rowOff>
    </xdr:to>
    <xdr:sp macro="[0]!Rectángulo5_Haga_clic_en" textlink="">
      <xdr:nvSpPr>
        <xdr:cNvPr id="7" name="Rectángulo 6">
          <a:extLst>
            <a:ext uri="{FF2B5EF4-FFF2-40B4-BE49-F238E27FC236}">
              <a16:creationId xmlns:a16="http://schemas.microsoft.com/office/drawing/2014/main" id="{191A63C0-65CA-45E4-93D8-80118C6FE337}"/>
            </a:ext>
          </a:extLst>
        </xdr:cNvPr>
        <xdr:cNvSpPr/>
      </xdr:nvSpPr>
      <xdr:spPr>
        <a:xfrm>
          <a:off x="7363239" y="1358348"/>
          <a:ext cx="1019175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AÑADIR</a:t>
          </a:r>
          <a:r>
            <a:rPr lang="es-PE" sz="1100" baseline="0"/>
            <a:t> PAGO</a:t>
          </a:r>
          <a:endParaRPr lang="es-PE" sz="1100"/>
        </a:p>
      </xdr:txBody>
    </xdr:sp>
    <xdr:clientData/>
  </xdr:twoCellAnchor>
  <xdr:twoCellAnchor>
    <xdr:from>
      <xdr:col>8</xdr:col>
      <xdr:colOff>57978</xdr:colOff>
      <xdr:row>3</xdr:row>
      <xdr:rowOff>33130</xdr:rowOff>
    </xdr:from>
    <xdr:to>
      <xdr:col>8</xdr:col>
      <xdr:colOff>1424609</xdr:colOff>
      <xdr:row>3</xdr:row>
      <xdr:rowOff>289892</xdr:rowOff>
    </xdr:to>
    <xdr:sp macro="[0]!Rectángulo5_Haga_clic_en" textlink="">
      <xdr:nvSpPr>
        <xdr:cNvPr id="8" name="Rectángulo 7">
          <a:extLst>
            <a:ext uri="{FF2B5EF4-FFF2-40B4-BE49-F238E27FC236}">
              <a16:creationId xmlns:a16="http://schemas.microsoft.com/office/drawing/2014/main" id="{5FB12F59-0107-46EC-8E6A-916324A90815}"/>
            </a:ext>
          </a:extLst>
        </xdr:cNvPr>
        <xdr:cNvSpPr/>
      </xdr:nvSpPr>
      <xdr:spPr>
        <a:xfrm>
          <a:off x="12208565" y="728869"/>
          <a:ext cx="1366631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  <xdr:twoCellAnchor>
    <xdr:from>
      <xdr:col>8</xdr:col>
      <xdr:colOff>49695</xdr:colOff>
      <xdr:row>4</xdr:row>
      <xdr:rowOff>33130</xdr:rowOff>
    </xdr:from>
    <xdr:to>
      <xdr:col>8</xdr:col>
      <xdr:colOff>1416326</xdr:colOff>
      <xdr:row>4</xdr:row>
      <xdr:rowOff>289892</xdr:rowOff>
    </xdr:to>
    <xdr:sp macro="[0]!Rectángulo5_Haga_clic_en" textlink="">
      <xdr:nvSpPr>
        <xdr:cNvPr id="9" name="Rectángulo 8">
          <a:extLst>
            <a:ext uri="{FF2B5EF4-FFF2-40B4-BE49-F238E27FC236}">
              <a16:creationId xmlns:a16="http://schemas.microsoft.com/office/drawing/2014/main" id="{82E75350-30A7-49F6-9801-5DC2D9A3D652}"/>
            </a:ext>
          </a:extLst>
        </xdr:cNvPr>
        <xdr:cNvSpPr/>
      </xdr:nvSpPr>
      <xdr:spPr>
        <a:xfrm>
          <a:off x="10171043" y="1043608"/>
          <a:ext cx="1366631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  <xdr:twoCellAnchor>
    <xdr:from>
      <xdr:col>8</xdr:col>
      <xdr:colOff>61290</xdr:colOff>
      <xdr:row>5</xdr:row>
      <xdr:rowOff>36443</xdr:rowOff>
    </xdr:from>
    <xdr:to>
      <xdr:col>8</xdr:col>
      <xdr:colOff>1427921</xdr:colOff>
      <xdr:row>5</xdr:row>
      <xdr:rowOff>293205</xdr:rowOff>
    </xdr:to>
    <xdr:sp macro="[0]!Rectángulo5_Haga_clic_en" textlink="">
      <xdr:nvSpPr>
        <xdr:cNvPr id="10" name="Rectángulo 9">
          <a:extLst>
            <a:ext uri="{FF2B5EF4-FFF2-40B4-BE49-F238E27FC236}">
              <a16:creationId xmlns:a16="http://schemas.microsoft.com/office/drawing/2014/main" id="{6F4EECB9-2209-4D44-A793-DDE40B4197C0}"/>
            </a:ext>
          </a:extLst>
        </xdr:cNvPr>
        <xdr:cNvSpPr/>
      </xdr:nvSpPr>
      <xdr:spPr>
        <a:xfrm>
          <a:off x="10182638" y="1361660"/>
          <a:ext cx="1366631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98978</xdr:colOff>
      <xdr:row>2</xdr:row>
      <xdr:rowOff>33131</xdr:rowOff>
    </xdr:from>
    <xdr:to>
      <xdr:col>8</xdr:col>
      <xdr:colOff>1118153</xdr:colOff>
      <xdr:row>2</xdr:row>
      <xdr:rowOff>289893</xdr:rowOff>
    </xdr:to>
    <xdr:sp macro="[0]!Rectángulo5_Haga_clic_en" textlink="">
      <xdr:nvSpPr>
        <xdr:cNvPr id="2" name="Rectángulo 1">
          <a:extLst>
            <a:ext uri="{FF2B5EF4-FFF2-40B4-BE49-F238E27FC236}">
              <a16:creationId xmlns:a16="http://schemas.microsoft.com/office/drawing/2014/main" id="{733EBF89-AAA2-4CE3-8192-A5AFF76CE375}"/>
            </a:ext>
          </a:extLst>
        </xdr:cNvPr>
        <xdr:cNvSpPr/>
      </xdr:nvSpPr>
      <xdr:spPr>
        <a:xfrm>
          <a:off x="5880653" y="728456"/>
          <a:ext cx="1019175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AÑADIR</a:t>
          </a:r>
          <a:r>
            <a:rPr lang="es-PE" sz="1100" baseline="0"/>
            <a:t> PAGO</a:t>
          </a:r>
          <a:endParaRPr lang="es-PE" sz="1100"/>
        </a:p>
      </xdr:txBody>
    </xdr:sp>
    <xdr:clientData/>
  </xdr:twoCellAnchor>
  <xdr:twoCellAnchor>
    <xdr:from>
      <xdr:col>8</xdr:col>
      <xdr:colOff>82826</xdr:colOff>
      <xdr:row>3</xdr:row>
      <xdr:rowOff>24848</xdr:rowOff>
    </xdr:from>
    <xdr:to>
      <xdr:col>8</xdr:col>
      <xdr:colOff>1102001</xdr:colOff>
      <xdr:row>3</xdr:row>
      <xdr:rowOff>281610</xdr:rowOff>
    </xdr:to>
    <xdr:sp macro="[0]!Rectángulo5_Haga_clic_en" textlink="">
      <xdr:nvSpPr>
        <xdr:cNvPr id="3" name="Rectángulo 2">
          <a:extLst>
            <a:ext uri="{FF2B5EF4-FFF2-40B4-BE49-F238E27FC236}">
              <a16:creationId xmlns:a16="http://schemas.microsoft.com/office/drawing/2014/main" id="{807952E3-61B4-42A6-8918-A8D790E62792}"/>
            </a:ext>
          </a:extLst>
        </xdr:cNvPr>
        <xdr:cNvSpPr/>
      </xdr:nvSpPr>
      <xdr:spPr>
        <a:xfrm>
          <a:off x="5864501" y="1034498"/>
          <a:ext cx="1019175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AÑADIR</a:t>
          </a:r>
          <a:r>
            <a:rPr lang="es-PE" sz="1100" baseline="0"/>
            <a:t> PAGO</a:t>
          </a:r>
          <a:endParaRPr lang="es-PE" sz="1100"/>
        </a:p>
      </xdr:txBody>
    </xdr:sp>
    <xdr:clientData/>
  </xdr:twoCellAnchor>
  <xdr:twoCellAnchor>
    <xdr:from>
      <xdr:col>8</xdr:col>
      <xdr:colOff>66261</xdr:colOff>
      <xdr:row>4</xdr:row>
      <xdr:rowOff>33131</xdr:rowOff>
    </xdr:from>
    <xdr:to>
      <xdr:col>8</xdr:col>
      <xdr:colOff>1085436</xdr:colOff>
      <xdr:row>4</xdr:row>
      <xdr:rowOff>289893</xdr:rowOff>
    </xdr:to>
    <xdr:sp macro="[0]!Rectángulo5_Haga_clic_en" textlink="">
      <xdr:nvSpPr>
        <xdr:cNvPr id="4" name="Rectángulo 3">
          <a:extLst>
            <a:ext uri="{FF2B5EF4-FFF2-40B4-BE49-F238E27FC236}">
              <a16:creationId xmlns:a16="http://schemas.microsoft.com/office/drawing/2014/main" id="{9D627219-1419-45AA-B2C6-4B641731401A}"/>
            </a:ext>
          </a:extLst>
        </xdr:cNvPr>
        <xdr:cNvSpPr/>
      </xdr:nvSpPr>
      <xdr:spPr>
        <a:xfrm>
          <a:off x="5847936" y="1357106"/>
          <a:ext cx="1019175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AÑADIR</a:t>
          </a:r>
          <a:r>
            <a:rPr lang="es-PE" sz="1100" baseline="0"/>
            <a:t> PAGO</a:t>
          </a:r>
          <a:endParaRPr lang="es-PE" sz="1100"/>
        </a:p>
      </xdr:txBody>
    </xdr:sp>
    <xdr:clientData/>
  </xdr:twoCellAnchor>
  <xdr:twoCellAnchor>
    <xdr:from>
      <xdr:col>11</xdr:col>
      <xdr:colOff>57978</xdr:colOff>
      <xdr:row>2</xdr:row>
      <xdr:rowOff>33130</xdr:rowOff>
    </xdr:from>
    <xdr:to>
      <xdr:col>11</xdr:col>
      <xdr:colOff>1424609</xdr:colOff>
      <xdr:row>2</xdr:row>
      <xdr:rowOff>289892</xdr:rowOff>
    </xdr:to>
    <xdr:sp macro="[0]!Rectángulo5_Haga_clic_en" textlink="">
      <xdr:nvSpPr>
        <xdr:cNvPr id="5" name="Rectángulo 4">
          <a:extLst>
            <a:ext uri="{FF2B5EF4-FFF2-40B4-BE49-F238E27FC236}">
              <a16:creationId xmlns:a16="http://schemas.microsoft.com/office/drawing/2014/main" id="{1E45AED3-8B15-41BB-904C-B69C82A56E6A}"/>
            </a:ext>
          </a:extLst>
        </xdr:cNvPr>
        <xdr:cNvSpPr/>
      </xdr:nvSpPr>
      <xdr:spPr>
        <a:xfrm>
          <a:off x="10183053" y="728455"/>
          <a:ext cx="1366631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  <xdr:twoCellAnchor>
    <xdr:from>
      <xdr:col>11</xdr:col>
      <xdr:colOff>49695</xdr:colOff>
      <xdr:row>3</xdr:row>
      <xdr:rowOff>33130</xdr:rowOff>
    </xdr:from>
    <xdr:to>
      <xdr:col>11</xdr:col>
      <xdr:colOff>1416326</xdr:colOff>
      <xdr:row>3</xdr:row>
      <xdr:rowOff>289892</xdr:rowOff>
    </xdr:to>
    <xdr:sp macro="[0]!Rectángulo5_Haga_clic_en" textlink="">
      <xdr:nvSpPr>
        <xdr:cNvPr id="6" name="Rectángulo 5">
          <a:extLst>
            <a:ext uri="{FF2B5EF4-FFF2-40B4-BE49-F238E27FC236}">
              <a16:creationId xmlns:a16="http://schemas.microsoft.com/office/drawing/2014/main" id="{61D95492-CCEA-498F-8D93-06B7ADAFB257}"/>
            </a:ext>
          </a:extLst>
        </xdr:cNvPr>
        <xdr:cNvSpPr/>
      </xdr:nvSpPr>
      <xdr:spPr>
        <a:xfrm>
          <a:off x="10174770" y="1042780"/>
          <a:ext cx="1366631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  <xdr:twoCellAnchor>
    <xdr:from>
      <xdr:col>11</xdr:col>
      <xdr:colOff>61290</xdr:colOff>
      <xdr:row>4</xdr:row>
      <xdr:rowOff>36443</xdr:rowOff>
    </xdr:from>
    <xdr:to>
      <xdr:col>11</xdr:col>
      <xdr:colOff>1427921</xdr:colOff>
      <xdr:row>4</xdr:row>
      <xdr:rowOff>293205</xdr:rowOff>
    </xdr:to>
    <xdr:sp macro="[0]!Rectángulo5_Haga_clic_en" textlink="">
      <xdr:nvSpPr>
        <xdr:cNvPr id="7" name="Rectángulo 6">
          <a:extLst>
            <a:ext uri="{FF2B5EF4-FFF2-40B4-BE49-F238E27FC236}">
              <a16:creationId xmlns:a16="http://schemas.microsoft.com/office/drawing/2014/main" id="{183C65A9-7B4A-4B76-8FEB-B298607B7E6D}"/>
            </a:ext>
          </a:extLst>
        </xdr:cNvPr>
        <xdr:cNvSpPr/>
      </xdr:nvSpPr>
      <xdr:spPr>
        <a:xfrm>
          <a:off x="10186365" y="1360418"/>
          <a:ext cx="1366631" cy="256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  <xdr:twoCellAnchor>
    <xdr:from>
      <xdr:col>5</xdr:col>
      <xdr:colOff>24848</xdr:colOff>
      <xdr:row>2</xdr:row>
      <xdr:rowOff>24433</xdr:rowOff>
    </xdr:from>
    <xdr:to>
      <xdr:col>5</xdr:col>
      <xdr:colOff>778565</xdr:colOff>
      <xdr:row>2</xdr:row>
      <xdr:rowOff>289890</xdr:rowOff>
    </xdr:to>
    <xdr:sp macro="[0]!Rectángulo5_Haga_clic_en" textlink="">
      <xdr:nvSpPr>
        <xdr:cNvPr id="8" name="Rectángulo 7">
          <a:extLst>
            <a:ext uri="{FF2B5EF4-FFF2-40B4-BE49-F238E27FC236}">
              <a16:creationId xmlns:a16="http://schemas.microsoft.com/office/drawing/2014/main" id="{7B4D6C71-63B4-4D69-95C2-CB856B75CC8D}"/>
            </a:ext>
          </a:extLst>
        </xdr:cNvPr>
        <xdr:cNvSpPr/>
      </xdr:nvSpPr>
      <xdr:spPr>
        <a:xfrm>
          <a:off x="5441674" y="720172"/>
          <a:ext cx="753717" cy="2654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DETALLES</a:t>
          </a:r>
        </a:p>
      </xdr:txBody>
    </xdr:sp>
    <xdr:clientData/>
  </xdr:twoCellAnchor>
  <xdr:twoCellAnchor>
    <xdr:from>
      <xdr:col>5</xdr:col>
      <xdr:colOff>24848</xdr:colOff>
      <xdr:row>3</xdr:row>
      <xdr:rowOff>24848</xdr:rowOff>
    </xdr:from>
    <xdr:to>
      <xdr:col>5</xdr:col>
      <xdr:colOff>778565</xdr:colOff>
      <xdr:row>3</xdr:row>
      <xdr:rowOff>290305</xdr:rowOff>
    </xdr:to>
    <xdr:sp macro="[0]!Rectángulo5_Haga_clic_en" textlink="">
      <xdr:nvSpPr>
        <xdr:cNvPr id="11" name="Rectángulo 10">
          <a:extLst>
            <a:ext uri="{FF2B5EF4-FFF2-40B4-BE49-F238E27FC236}">
              <a16:creationId xmlns:a16="http://schemas.microsoft.com/office/drawing/2014/main" id="{D2061FDF-C8F3-48E8-A357-DFE24F167FBB}"/>
            </a:ext>
          </a:extLst>
        </xdr:cNvPr>
        <xdr:cNvSpPr/>
      </xdr:nvSpPr>
      <xdr:spPr>
        <a:xfrm>
          <a:off x="5441674" y="1035326"/>
          <a:ext cx="753717" cy="2654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DETALLES</a:t>
          </a:r>
        </a:p>
      </xdr:txBody>
    </xdr:sp>
    <xdr:clientData/>
  </xdr:twoCellAnchor>
  <xdr:twoCellAnchor>
    <xdr:from>
      <xdr:col>5</xdr:col>
      <xdr:colOff>24847</xdr:colOff>
      <xdr:row>4</xdr:row>
      <xdr:rowOff>24848</xdr:rowOff>
    </xdr:from>
    <xdr:to>
      <xdr:col>5</xdr:col>
      <xdr:colOff>778564</xdr:colOff>
      <xdr:row>4</xdr:row>
      <xdr:rowOff>290305</xdr:rowOff>
    </xdr:to>
    <xdr:sp macro="[0]!Rectángulo5_Haga_clic_en" textlink="">
      <xdr:nvSpPr>
        <xdr:cNvPr id="12" name="Rectángulo 11">
          <a:extLst>
            <a:ext uri="{FF2B5EF4-FFF2-40B4-BE49-F238E27FC236}">
              <a16:creationId xmlns:a16="http://schemas.microsoft.com/office/drawing/2014/main" id="{0414DBA9-8A00-422D-B8FA-41F75E6487FE}"/>
            </a:ext>
          </a:extLst>
        </xdr:cNvPr>
        <xdr:cNvSpPr/>
      </xdr:nvSpPr>
      <xdr:spPr>
        <a:xfrm>
          <a:off x="5441673" y="1350065"/>
          <a:ext cx="753717" cy="2654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19050</xdr:rowOff>
    </xdr:from>
    <xdr:to>
      <xdr:col>7</xdr:col>
      <xdr:colOff>304800</xdr:colOff>
      <xdr:row>1</xdr:row>
      <xdr:rowOff>219075</xdr:rowOff>
    </xdr:to>
    <xdr:sp macro="[0]!Rectángulo5_Haga_clic_en" textlink="">
      <xdr:nvSpPr>
        <xdr:cNvPr id="2" name="Rectángulo 1">
          <a:extLst>
            <a:ext uri="{FF2B5EF4-FFF2-40B4-BE49-F238E27FC236}">
              <a16:creationId xmlns:a16="http://schemas.microsoft.com/office/drawing/2014/main" id="{500C82E1-B54C-4717-9EA7-78061AD4890E}"/>
            </a:ext>
          </a:extLst>
        </xdr:cNvPr>
        <xdr:cNvSpPr/>
      </xdr:nvSpPr>
      <xdr:spPr>
        <a:xfrm>
          <a:off x="4943475" y="209550"/>
          <a:ext cx="1581150" cy="200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ASISTENCIA</a:t>
          </a:r>
        </a:p>
      </xdr:txBody>
    </xdr:sp>
    <xdr:clientData/>
  </xdr:twoCellAnchor>
  <xdr:twoCellAnchor>
    <xdr:from>
      <xdr:col>8</xdr:col>
      <xdr:colOff>466725</xdr:colOff>
      <xdr:row>1</xdr:row>
      <xdr:rowOff>28575</xdr:rowOff>
    </xdr:from>
    <xdr:to>
      <xdr:col>10</xdr:col>
      <xdr:colOff>304800</xdr:colOff>
      <xdr:row>1</xdr:row>
      <xdr:rowOff>228600</xdr:rowOff>
    </xdr:to>
    <xdr:sp macro="[0]!Rectángulo5_Haga_clic_en" textlink="">
      <xdr:nvSpPr>
        <xdr:cNvPr id="4" name="Rectángulo 3">
          <a:extLst>
            <a:ext uri="{FF2B5EF4-FFF2-40B4-BE49-F238E27FC236}">
              <a16:creationId xmlns:a16="http://schemas.microsoft.com/office/drawing/2014/main" id="{B5354DB2-53F7-4930-9088-7C0270E80AC9}"/>
            </a:ext>
          </a:extLst>
        </xdr:cNvPr>
        <xdr:cNvSpPr/>
      </xdr:nvSpPr>
      <xdr:spPr>
        <a:xfrm>
          <a:off x="7534275" y="219075"/>
          <a:ext cx="1581150" cy="200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ASISTENCIA</a:t>
          </a:r>
        </a:p>
      </xdr:txBody>
    </xdr:sp>
    <xdr:clientData/>
  </xdr:twoCellAnchor>
  <xdr:twoCellAnchor>
    <xdr:from>
      <xdr:col>14</xdr:col>
      <xdr:colOff>47625</xdr:colOff>
      <xdr:row>2</xdr:row>
      <xdr:rowOff>38100</xdr:rowOff>
    </xdr:from>
    <xdr:to>
      <xdr:col>14</xdr:col>
      <xdr:colOff>1704975</xdr:colOff>
      <xdr:row>2</xdr:row>
      <xdr:rowOff>219075</xdr:rowOff>
    </xdr:to>
    <xdr:sp macro="[0]!Rectángulo5_Haga_clic_en" textlink="">
      <xdr:nvSpPr>
        <xdr:cNvPr id="5" name="Rectángulo 4">
          <a:extLst>
            <a:ext uri="{FF2B5EF4-FFF2-40B4-BE49-F238E27FC236}">
              <a16:creationId xmlns:a16="http://schemas.microsoft.com/office/drawing/2014/main" id="{28036908-77A4-4FC6-80CC-EA41A0F168FE}"/>
            </a:ext>
          </a:extLst>
        </xdr:cNvPr>
        <xdr:cNvSpPr/>
      </xdr:nvSpPr>
      <xdr:spPr>
        <a:xfrm>
          <a:off x="12020550" y="485775"/>
          <a:ext cx="16573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  <xdr:twoCellAnchor>
    <xdr:from>
      <xdr:col>14</xdr:col>
      <xdr:colOff>47625</xdr:colOff>
      <xdr:row>3</xdr:row>
      <xdr:rowOff>19050</xdr:rowOff>
    </xdr:from>
    <xdr:to>
      <xdr:col>14</xdr:col>
      <xdr:colOff>1704975</xdr:colOff>
      <xdr:row>3</xdr:row>
      <xdr:rowOff>200025</xdr:rowOff>
    </xdr:to>
    <xdr:sp macro="[0]!Rectángulo5_Haga_clic_en" textlink="">
      <xdr:nvSpPr>
        <xdr:cNvPr id="6" name="Rectángulo 5">
          <a:extLst>
            <a:ext uri="{FF2B5EF4-FFF2-40B4-BE49-F238E27FC236}">
              <a16:creationId xmlns:a16="http://schemas.microsoft.com/office/drawing/2014/main" id="{9872B327-6364-4B89-B03A-CF79B916E6F5}"/>
            </a:ext>
          </a:extLst>
        </xdr:cNvPr>
        <xdr:cNvSpPr/>
      </xdr:nvSpPr>
      <xdr:spPr>
        <a:xfrm>
          <a:off x="12020550" y="723900"/>
          <a:ext cx="16573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DETALLE DE PAGO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%20PC/Downloads/PERSONAL-%20ESCALERA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"/>
      <sheetName val="Hoja1"/>
      <sheetName val="Cuadrilla"/>
      <sheetName val="Pagos"/>
      <sheetName val="PAGO SEMANAL-1"/>
      <sheetName val="PAGO SEMANAL-2"/>
      <sheetName val="PAGO SEMANAL-1 (2)"/>
    </sheetNames>
    <sheetDataSet>
      <sheetData sheetId="0">
        <row r="2">
          <cell r="B2" t="str">
            <v xml:space="preserve">PROYECTO: "CONSTRUCCION DE ESCALERA EN EL PABELLON C Y D DE LA UNIVERSIDAD PERUANA UNION - FJ"
</v>
          </cell>
        </row>
        <row r="4">
          <cell r="B4" t="str">
            <v>ACTIVIDAD DEL TRABAJO: Construcción de escaleras</v>
          </cell>
        </row>
        <row r="6">
          <cell r="B6">
            <v>1</v>
          </cell>
        </row>
        <row r="7">
          <cell r="B7">
            <v>2</v>
          </cell>
        </row>
        <row r="8">
          <cell r="B8">
            <v>3</v>
          </cell>
          <cell r="C8" t="str">
            <v>CCALLA RIVEROS FRITZ</v>
          </cell>
          <cell r="D8" t="str">
            <v>01323711</v>
          </cell>
          <cell r="F8" t="str">
            <v>Maestro de Obra</v>
          </cell>
          <cell r="H8" t="str">
            <v>941 873 771</v>
          </cell>
        </row>
        <row r="9">
          <cell r="B9">
            <v>4</v>
          </cell>
          <cell r="C9" t="str">
            <v>CCAZA CARI RUBEN DARIO</v>
          </cell>
          <cell r="D9">
            <v>71589361</v>
          </cell>
          <cell r="F9" t="str">
            <v>Operario</v>
          </cell>
          <cell r="H9" t="str">
            <v>975 265 640</v>
          </cell>
        </row>
        <row r="10">
          <cell r="B10">
            <v>5</v>
          </cell>
          <cell r="C10" t="str">
            <v>TISNADO GALLEGOS ALFONSO</v>
          </cell>
          <cell r="D10" t="str">
            <v>01220085</v>
          </cell>
          <cell r="F10" t="str">
            <v>Operario</v>
          </cell>
          <cell r="H10" t="str">
            <v>944 331 050</v>
          </cell>
        </row>
        <row r="11">
          <cell r="B11">
            <v>6</v>
          </cell>
          <cell r="C11" t="str">
            <v>SUCACAHUA SUCACAHUA EDGAR</v>
          </cell>
          <cell r="D11" t="str">
            <v>77391430</v>
          </cell>
          <cell r="F11" t="str">
            <v>Oficial</v>
          </cell>
          <cell r="H11" t="str">
            <v>910 100 497</v>
          </cell>
        </row>
        <row r="12">
          <cell r="B12">
            <v>7</v>
          </cell>
          <cell r="C12" t="str">
            <v>MACHACA SUCASACA NAZARIO</v>
          </cell>
          <cell r="D12">
            <v>70253021</v>
          </cell>
          <cell r="F12" t="str">
            <v>Oficial</v>
          </cell>
          <cell r="H12" t="str">
            <v>964 528 586</v>
          </cell>
        </row>
        <row r="13">
          <cell r="C13" t="str">
            <v>HUARACHE CCOPA WILFREDO PERCY</v>
          </cell>
          <cell r="D13">
            <v>48904165</v>
          </cell>
          <cell r="F13" t="str">
            <v>Oficial</v>
          </cell>
          <cell r="H13" t="str">
            <v>979 656 840</v>
          </cell>
        </row>
        <row r="14">
          <cell r="C14" t="str">
            <v>CCALLA SUCACAHUA JOHN JULIO</v>
          </cell>
          <cell r="F14" t="str">
            <v>Peón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65AE-15C6-44FF-984B-9AA88F4B93D1}">
  <sheetPr codeName="Hoja1"/>
  <dimension ref="A23"/>
  <sheetViews>
    <sheetView showGridLines="0" workbookViewId="0">
      <selection activeCell="G10" sqref="G10"/>
    </sheetView>
  </sheetViews>
  <sheetFormatPr baseColWidth="10" defaultRowHeight="15" x14ac:dyDescent="0.25"/>
  <cols>
    <col min="2" max="2" width="3.28515625" customWidth="1"/>
    <col min="4" max="4" width="37.5703125" customWidth="1"/>
    <col min="5" max="5" width="3" customWidth="1"/>
    <col min="7" max="7" width="22.42578125" customWidth="1"/>
    <col min="8" max="8" width="25.42578125" customWidth="1"/>
    <col min="9" max="9" width="16.28515625" customWidth="1"/>
  </cols>
  <sheetData>
    <row r="23" ht="15" customHeight="1" x14ac:dyDescent="0.25"/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28C2E-2D12-4E05-9918-A7C54E65EB2A}">
  <sheetPr codeName="Hoja2">
    <tabColor rgb="FFFFFF00"/>
  </sheetPr>
  <dimension ref="A1:I6"/>
  <sheetViews>
    <sheetView zoomScale="106" zoomScaleNormal="106" workbookViewId="0">
      <selection activeCell="A3" sqref="A3:I3"/>
    </sheetView>
  </sheetViews>
  <sheetFormatPr baseColWidth="10" defaultRowHeight="15" x14ac:dyDescent="0.25"/>
  <cols>
    <col min="1" max="1" width="7" customWidth="1"/>
    <col min="2" max="2" width="12.85546875" customWidth="1"/>
    <col min="3" max="3" width="30.7109375" customWidth="1"/>
    <col min="4" max="4" width="11.140625" customWidth="1"/>
    <col min="5" max="5" width="41.85546875" customWidth="1"/>
    <col min="6" max="6" width="18.85546875" customWidth="1"/>
    <col min="7" max="7" width="23.42578125" customWidth="1"/>
    <col min="8" max="8" width="14.28515625" customWidth="1"/>
    <col min="9" max="9" width="22.85546875" customWidth="1"/>
  </cols>
  <sheetData>
    <row r="1" spans="1:9" x14ac:dyDescent="0.25">
      <c r="A1" s="5" t="s">
        <v>12</v>
      </c>
      <c r="B1" s="2" t="s">
        <v>0</v>
      </c>
      <c r="C1" s="2" t="s">
        <v>1</v>
      </c>
      <c r="D1" s="2" t="s">
        <v>10</v>
      </c>
      <c r="E1" s="2" t="s">
        <v>3</v>
      </c>
      <c r="F1" s="5" t="s">
        <v>21</v>
      </c>
      <c r="G1" s="5" t="s">
        <v>35</v>
      </c>
      <c r="H1" s="2" t="s">
        <v>20</v>
      </c>
      <c r="I1" s="2" t="s">
        <v>22</v>
      </c>
    </row>
    <row r="2" spans="1:9" x14ac:dyDescent="0.25">
      <c r="A2" s="4"/>
      <c r="B2" s="4"/>
      <c r="C2" s="1"/>
      <c r="D2" s="4"/>
      <c r="E2" s="1"/>
      <c r="F2" s="17"/>
      <c r="G2" s="17"/>
      <c r="H2" s="1"/>
      <c r="I2" s="1"/>
    </row>
    <row r="3" spans="1:9" x14ac:dyDescent="0.25">
      <c r="A3" s="4">
        <f>+A4+1</f>
        <v>3</v>
      </c>
      <c r="B3" s="6">
        <v>2012</v>
      </c>
      <c r="C3" s="3" t="s">
        <v>131</v>
      </c>
      <c r="D3" s="6">
        <v>954</v>
      </c>
      <c r="E3" s="3" t="s">
        <v>132</v>
      </c>
      <c r="F3" s="17">
        <v>2222</v>
      </c>
      <c r="G3" s="17">
        <v>2222</v>
      </c>
      <c r="H3" s="1" t="s">
        <v>23</v>
      </c>
      <c r="I3" s="1" t="s">
        <v>133</v>
      </c>
    </row>
    <row r="4" spans="1:9" x14ac:dyDescent="0.25">
      <c r="A4" s="4">
        <f>+A5+1</f>
        <v>2</v>
      </c>
      <c r="B4" s="6">
        <v>2060645682</v>
      </c>
      <c r="C4" s="3" t="s">
        <v>2</v>
      </c>
      <c r="D4" s="6">
        <v>954201310</v>
      </c>
      <c r="E4" s="3" t="s">
        <v>36</v>
      </c>
      <c r="F4" s="17">
        <v>44</v>
      </c>
      <c r="G4" s="17">
        <v>45</v>
      </c>
      <c r="H4" s="1" t="s">
        <v>23</v>
      </c>
      <c r="I4" s="1" t="s">
        <v>37</v>
      </c>
    </row>
    <row r="5" spans="1:9" x14ac:dyDescent="0.25">
      <c r="A5" s="4">
        <f>+A6+1</f>
        <v>1</v>
      </c>
      <c r="B5" s="6">
        <v>20606456892</v>
      </c>
      <c r="C5" s="3" t="s">
        <v>2</v>
      </c>
      <c r="D5" s="6">
        <v>954201310</v>
      </c>
      <c r="E5" s="3" t="s">
        <v>13</v>
      </c>
      <c r="F5" s="18">
        <v>44</v>
      </c>
      <c r="G5" s="18">
        <v>45</v>
      </c>
      <c r="H5" s="3"/>
      <c r="I5" s="3"/>
    </row>
    <row r="6" spans="1:9" x14ac:dyDescent="0.25">
      <c r="A6" s="6"/>
      <c r="B6" s="6"/>
      <c r="C6" s="3"/>
      <c r="D6" s="6"/>
      <c r="E6" s="3"/>
      <c r="F6" s="18"/>
      <c r="G6" s="18"/>
      <c r="H6" s="3"/>
      <c r="I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23697-4EDE-4B1C-825B-5807B033D556}">
  <sheetPr codeName="Hoja3">
    <tabColor rgb="FFFFFF00"/>
  </sheetPr>
  <dimension ref="A1:I7"/>
  <sheetViews>
    <sheetView zoomScale="115" zoomScaleNormal="115" workbookViewId="0">
      <selection activeCell="D6" sqref="D6"/>
    </sheetView>
  </sheetViews>
  <sheetFormatPr baseColWidth="10" defaultRowHeight="15" x14ac:dyDescent="0.25"/>
  <cols>
    <col min="1" max="1" width="6.28515625" customWidth="1"/>
    <col min="2" max="2" width="28" customWidth="1"/>
    <col min="3" max="3" width="13.42578125" customWidth="1"/>
    <col min="4" max="4" width="15.42578125" customWidth="1"/>
    <col min="5" max="5" width="13.85546875" customWidth="1"/>
    <col min="6" max="6" width="30.5703125" customWidth="1"/>
    <col min="7" max="7" width="14.42578125" customWidth="1"/>
    <col min="8" max="8" width="20.140625" customWidth="1"/>
    <col min="9" max="9" width="22.28515625" customWidth="1"/>
  </cols>
  <sheetData>
    <row r="1" spans="1:9" ht="30" customHeight="1" x14ac:dyDescent="0.25">
      <c r="A1" s="8" t="s">
        <v>33</v>
      </c>
      <c r="B1" s="8" t="s">
        <v>4</v>
      </c>
      <c r="C1" s="8" t="s">
        <v>8</v>
      </c>
      <c r="D1" s="8" t="s">
        <v>5</v>
      </c>
      <c r="E1" s="8" t="s">
        <v>6</v>
      </c>
      <c r="F1" s="8" t="s">
        <v>108</v>
      </c>
      <c r="G1" s="8" t="s">
        <v>9</v>
      </c>
      <c r="H1" s="8" t="s">
        <v>7</v>
      </c>
      <c r="I1" s="8" t="s">
        <v>27</v>
      </c>
    </row>
    <row r="2" spans="1:9" s="14" customFormat="1" ht="24.95" customHeight="1" x14ac:dyDescent="0.25">
      <c r="A2" s="9"/>
      <c r="B2" s="10"/>
      <c r="C2" s="11"/>
      <c r="D2" s="10"/>
      <c r="E2" s="12"/>
      <c r="F2" s="13"/>
      <c r="G2" s="13"/>
      <c r="H2" s="13"/>
      <c r="I2" s="12"/>
    </row>
    <row r="3" spans="1:9" s="14" customFormat="1" ht="24.95" customHeight="1" x14ac:dyDescent="0.25">
      <c r="A3" s="9">
        <f>+A4+1</f>
        <v>4</v>
      </c>
      <c r="B3" s="10" t="s">
        <v>2</v>
      </c>
      <c r="C3" s="11">
        <v>44545</v>
      </c>
      <c r="D3" s="10" t="s">
        <v>14</v>
      </c>
      <c r="E3" s="12">
        <v>4000</v>
      </c>
      <c r="F3" s="13"/>
      <c r="G3" s="13"/>
      <c r="H3" s="13"/>
      <c r="I3" s="12"/>
    </row>
    <row r="4" spans="1:9" s="14" customFormat="1" ht="24.95" customHeight="1" x14ac:dyDescent="0.25">
      <c r="A4" s="9">
        <f>+A5+1</f>
        <v>3</v>
      </c>
      <c r="B4" s="10" t="s">
        <v>2</v>
      </c>
      <c r="C4" s="11" t="s">
        <v>11</v>
      </c>
      <c r="D4" s="10" t="s">
        <v>14</v>
      </c>
      <c r="E4" s="12">
        <v>6000</v>
      </c>
      <c r="F4" s="12">
        <v>6000</v>
      </c>
      <c r="G4" s="53">
        <f>+E4-F4</f>
        <v>0</v>
      </c>
      <c r="H4" s="55" t="s">
        <v>105</v>
      </c>
      <c r="I4" s="12"/>
    </row>
    <row r="5" spans="1:9" s="14" customFormat="1" ht="24.95" customHeight="1" x14ac:dyDescent="0.25">
      <c r="A5" s="9">
        <f>+A6+1</f>
        <v>2</v>
      </c>
      <c r="B5" s="10" t="s">
        <v>2</v>
      </c>
      <c r="C5" s="11" t="s">
        <v>11</v>
      </c>
      <c r="D5" s="10" t="s">
        <v>14</v>
      </c>
      <c r="E5" s="12">
        <v>6000</v>
      </c>
      <c r="F5" s="12">
        <v>0</v>
      </c>
      <c r="G5" s="53">
        <f>+E5-F5</f>
        <v>6000</v>
      </c>
      <c r="H5" s="54" t="s">
        <v>107</v>
      </c>
      <c r="I5" s="12"/>
    </row>
    <row r="6" spans="1:9" s="14" customFormat="1" ht="24.95" customHeight="1" x14ac:dyDescent="0.25">
      <c r="A6" s="9">
        <f>+A7+1</f>
        <v>1</v>
      </c>
      <c r="B6" s="10" t="s">
        <v>2</v>
      </c>
      <c r="C6" s="11" t="s">
        <v>11</v>
      </c>
      <c r="D6" s="10" t="s">
        <v>14</v>
      </c>
      <c r="E6" s="12">
        <v>6000</v>
      </c>
      <c r="F6" s="12">
        <v>5000</v>
      </c>
      <c r="G6" s="53">
        <f>+E6-F6</f>
        <v>1000</v>
      </c>
      <c r="H6" s="42" t="s">
        <v>106</v>
      </c>
      <c r="I6" s="12"/>
    </row>
    <row r="7" spans="1:9" s="14" customFormat="1" ht="24.95" customHeight="1" x14ac:dyDescent="0.25">
      <c r="A7" s="15"/>
      <c r="B7" s="15"/>
      <c r="C7" s="15"/>
      <c r="D7" s="15"/>
      <c r="E7" s="15"/>
      <c r="F7" s="15"/>
      <c r="G7" s="15"/>
      <c r="H7" s="15"/>
      <c r="I7" s="15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F04E3-B4E8-4A7F-9236-DF0183B459AF}">
  <sheetPr codeName="Hoja5">
    <tabColor rgb="FFFFFF00"/>
  </sheetPr>
  <dimension ref="A1:K6"/>
  <sheetViews>
    <sheetView workbookViewId="0">
      <selection activeCell="B3" sqref="B3:J5"/>
    </sheetView>
  </sheetViews>
  <sheetFormatPr baseColWidth="10" defaultRowHeight="15" x14ac:dyDescent="0.25"/>
  <cols>
    <col min="1" max="1" width="9.7109375" customWidth="1"/>
    <col min="2" max="2" width="16.85546875" customWidth="1"/>
    <col min="3" max="3" width="14" customWidth="1"/>
    <col min="4" max="4" width="28" customWidth="1"/>
    <col min="5" max="5" width="19.28515625" customWidth="1"/>
    <col min="6" max="6" width="10.85546875" customWidth="1"/>
    <col min="7" max="7" width="19.140625" customWidth="1"/>
    <col min="8" max="8" width="11" customWidth="1"/>
    <col min="9" max="9" width="23.42578125" customWidth="1"/>
    <col min="10" max="10" width="13.28515625" customWidth="1"/>
    <col min="11" max="11" width="12.28515625" customWidth="1"/>
  </cols>
  <sheetData>
    <row r="1" spans="1:11" ht="30" x14ac:dyDescent="0.25">
      <c r="A1" s="8" t="s">
        <v>33</v>
      </c>
      <c r="B1" s="8" t="s">
        <v>15</v>
      </c>
      <c r="C1" s="8" t="s">
        <v>39</v>
      </c>
      <c r="D1" s="8" t="s">
        <v>28</v>
      </c>
      <c r="E1" s="8" t="s">
        <v>29</v>
      </c>
      <c r="F1" s="8" t="s">
        <v>20</v>
      </c>
      <c r="G1" s="8" t="s">
        <v>30</v>
      </c>
      <c r="H1" s="8" t="s">
        <v>8</v>
      </c>
      <c r="I1" s="8" t="s">
        <v>5</v>
      </c>
      <c r="J1" s="8" t="s">
        <v>38</v>
      </c>
      <c r="K1" s="8" t="s">
        <v>6</v>
      </c>
    </row>
    <row r="2" spans="1:11" ht="15.75" customHeight="1" x14ac:dyDescent="0.25">
      <c r="A2" s="9"/>
      <c r="B2" s="13"/>
      <c r="C2" s="13"/>
      <c r="D2" s="11"/>
      <c r="E2" s="20"/>
      <c r="F2" s="16"/>
      <c r="G2" s="16"/>
      <c r="H2" s="16"/>
      <c r="I2" s="16"/>
      <c r="J2" s="19"/>
      <c r="K2" s="12"/>
    </row>
    <row r="3" spans="1:11" ht="15.75" customHeight="1" x14ac:dyDescent="0.25">
      <c r="A3" s="9">
        <f>+A4+1</f>
        <v>3</v>
      </c>
      <c r="B3" s="13" t="s">
        <v>17</v>
      </c>
      <c r="C3" s="13" t="s">
        <v>40</v>
      </c>
      <c r="D3" s="11" t="s">
        <v>2</v>
      </c>
      <c r="E3" s="20">
        <v>44</v>
      </c>
      <c r="F3" s="16" t="s">
        <v>23</v>
      </c>
      <c r="G3" s="16" t="s">
        <v>37</v>
      </c>
      <c r="H3" s="11" t="s">
        <v>11</v>
      </c>
      <c r="I3" s="16" t="s">
        <v>42</v>
      </c>
      <c r="J3" s="19" t="s">
        <v>43</v>
      </c>
      <c r="K3" s="12">
        <v>315</v>
      </c>
    </row>
    <row r="4" spans="1:11" ht="15.75" customHeight="1" x14ac:dyDescent="0.25">
      <c r="A4" s="9">
        <f>+A5+1</f>
        <v>2</v>
      </c>
      <c r="B4" s="13" t="s">
        <v>16</v>
      </c>
      <c r="C4" s="13" t="s">
        <v>41</v>
      </c>
      <c r="D4" s="11" t="s">
        <v>2</v>
      </c>
      <c r="E4" s="20">
        <v>44</v>
      </c>
      <c r="F4" s="16" t="s">
        <v>23</v>
      </c>
      <c r="G4" s="16" t="s">
        <v>37</v>
      </c>
      <c r="H4" s="11" t="s">
        <v>109</v>
      </c>
      <c r="I4" s="16" t="s">
        <v>14</v>
      </c>
      <c r="J4" s="19"/>
      <c r="K4" s="12">
        <v>1</v>
      </c>
    </row>
    <row r="5" spans="1:11" ht="15.75" customHeight="1" x14ac:dyDescent="0.25">
      <c r="A5" s="9">
        <f>+A6+1</f>
        <v>1</v>
      </c>
      <c r="B5" s="13" t="s">
        <v>17</v>
      </c>
      <c r="C5" s="13"/>
      <c r="D5" s="11" t="s">
        <v>2</v>
      </c>
      <c r="E5" s="20">
        <v>202112</v>
      </c>
      <c r="F5" s="16"/>
      <c r="G5" s="16" t="s">
        <v>31</v>
      </c>
      <c r="H5" s="11" t="s">
        <v>110</v>
      </c>
      <c r="I5" s="16" t="s">
        <v>32</v>
      </c>
      <c r="J5" s="19"/>
      <c r="K5" s="12"/>
    </row>
    <row r="6" spans="1:11" x14ac:dyDescent="0.25">
      <c r="K6" s="44">
        <f>SUM(K3:K5)</f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C9924-6417-4BD4-8275-D3B511B0B7FD}">
  <sheetPr codeName="Hoja11">
    <tabColor rgb="FFFFFF00"/>
  </sheetPr>
  <dimension ref="A1:L6"/>
  <sheetViews>
    <sheetView topLeftCell="E1" zoomScale="115" zoomScaleNormal="115" workbookViewId="0">
      <selection activeCell="E3" sqref="E3:L3"/>
    </sheetView>
  </sheetViews>
  <sheetFormatPr baseColWidth="10" defaultRowHeight="15" x14ac:dyDescent="0.25"/>
  <cols>
    <col min="1" max="1" width="7.85546875" customWidth="1"/>
    <col min="2" max="2" width="28" customWidth="1"/>
    <col min="3" max="3" width="13.42578125" customWidth="1"/>
    <col min="4" max="4" width="23.5703125" customWidth="1"/>
    <col min="5" max="5" width="8.42578125" customWidth="1"/>
    <col min="6" max="6" width="18.28515625" customWidth="1"/>
    <col min="7" max="7" width="12.5703125" customWidth="1"/>
    <col min="8" max="8" width="13.42578125" customWidth="1"/>
    <col min="9" max="9" width="30.5703125" customWidth="1"/>
    <col min="10" max="10" width="14.42578125" customWidth="1"/>
    <col min="11" max="11" width="20.140625" customWidth="1"/>
    <col min="12" max="12" width="22.28515625" customWidth="1"/>
  </cols>
  <sheetData>
    <row r="1" spans="1:12" ht="30" customHeight="1" x14ac:dyDescent="0.25">
      <c r="A1" s="8" t="s">
        <v>33</v>
      </c>
      <c r="B1" s="8" t="s">
        <v>4</v>
      </c>
      <c r="C1" s="8" t="s">
        <v>8</v>
      </c>
      <c r="D1" s="8" t="s">
        <v>5</v>
      </c>
      <c r="E1" s="8" t="s">
        <v>116</v>
      </c>
      <c r="F1" s="8" t="s">
        <v>119</v>
      </c>
      <c r="G1" s="8" t="s">
        <v>115</v>
      </c>
      <c r="H1" s="8" t="s">
        <v>6</v>
      </c>
      <c r="I1" s="8" t="s">
        <v>108</v>
      </c>
      <c r="J1" s="8" t="s">
        <v>9</v>
      </c>
      <c r="K1" s="8" t="s">
        <v>7</v>
      </c>
      <c r="L1" s="8" t="s">
        <v>27</v>
      </c>
    </row>
    <row r="2" spans="1:12" s="14" customFormat="1" ht="24.95" customHeight="1" x14ac:dyDescent="0.25">
      <c r="A2" s="9"/>
      <c r="B2" s="10"/>
      <c r="C2" s="11"/>
      <c r="D2" s="10"/>
      <c r="E2" s="13"/>
      <c r="F2" s="10"/>
      <c r="G2" s="10"/>
      <c r="H2" s="12"/>
      <c r="I2" s="13"/>
      <c r="J2" s="13"/>
      <c r="K2" s="13"/>
      <c r="L2" s="12"/>
    </row>
    <row r="3" spans="1:12" s="14" customFormat="1" ht="24.95" customHeight="1" x14ac:dyDescent="0.25">
      <c r="A3" s="9">
        <f>+A4+1</f>
        <v>3</v>
      </c>
      <c r="B3" s="10" t="s">
        <v>2</v>
      </c>
      <c r="C3" s="11" t="s">
        <v>11</v>
      </c>
      <c r="D3" s="10" t="s">
        <v>114</v>
      </c>
      <c r="E3" s="13" t="s">
        <v>117</v>
      </c>
      <c r="F3" s="62">
        <v>3</v>
      </c>
      <c r="G3" s="12">
        <v>110</v>
      </c>
      <c r="H3" s="12">
        <f>+F3*G3</f>
        <v>330</v>
      </c>
      <c r="I3" s="12">
        <v>6000</v>
      </c>
      <c r="J3" s="53">
        <f>+H3-I3</f>
        <v>-5670</v>
      </c>
      <c r="K3" s="55" t="s">
        <v>105</v>
      </c>
      <c r="L3" s="12"/>
    </row>
    <row r="4" spans="1:12" s="14" customFormat="1" ht="24.95" customHeight="1" x14ac:dyDescent="0.25">
      <c r="A4" s="9">
        <f>+A5+1</f>
        <v>2</v>
      </c>
      <c r="B4" s="10" t="s">
        <v>2</v>
      </c>
      <c r="C4" s="11" t="s">
        <v>11</v>
      </c>
      <c r="D4" s="10" t="s">
        <v>121</v>
      </c>
      <c r="E4" s="13" t="s">
        <v>117</v>
      </c>
      <c r="F4" s="62">
        <v>41.2</v>
      </c>
      <c r="G4" s="12">
        <v>80</v>
      </c>
      <c r="H4" s="12">
        <f t="shared" ref="H4:H5" si="0">+F4*G4</f>
        <v>3296</v>
      </c>
      <c r="I4" s="12">
        <v>0</v>
      </c>
      <c r="J4" s="53">
        <f>+H4-I4</f>
        <v>3296</v>
      </c>
      <c r="K4" s="54" t="s">
        <v>107</v>
      </c>
      <c r="L4" s="12"/>
    </row>
    <row r="5" spans="1:12" s="14" customFormat="1" ht="24.95" customHeight="1" x14ac:dyDescent="0.25">
      <c r="A5" s="9">
        <f>+A6+1</f>
        <v>1</v>
      </c>
      <c r="B5" s="10" t="s">
        <v>2</v>
      </c>
      <c r="C5" s="11" t="s">
        <v>11</v>
      </c>
      <c r="D5" s="10" t="s">
        <v>120</v>
      </c>
      <c r="E5" s="13" t="s">
        <v>118</v>
      </c>
      <c r="F5" s="62">
        <v>3</v>
      </c>
      <c r="G5" s="12">
        <v>100</v>
      </c>
      <c r="H5" s="12">
        <f t="shared" si="0"/>
        <v>300</v>
      </c>
      <c r="I5" s="12">
        <v>5000</v>
      </c>
      <c r="J5" s="53">
        <f>+H5-I5</f>
        <v>-4700</v>
      </c>
      <c r="K5" s="42" t="s">
        <v>106</v>
      </c>
      <c r="L5" s="12"/>
    </row>
    <row r="6" spans="1:12" s="14" customFormat="1" ht="24.9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AA13-0C34-4A61-AECE-6A8E9FE2A919}">
  <sheetPr codeName="Hoja13">
    <tabColor rgb="FFFFFF00"/>
  </sheetPr>
  <dimension ref="A2:G9"/>
  <sheetViews>
    <sheetView workbookViewId="0">
      <selection activeCell="H5" sqref="H5"/>
    </sheetView>
  </sheetViews>
  <sheetFormatPr baseColWidth="10" defaultRowHeight="15" x14ac:dyDescent="0.25"/>
  <cols>
    <col min="7" max="7" width="13.5703125" customWidth="1"/>
  </cols>
  <sheetData>
    <row r="2" spans="1:7" x14ac:dyDescent="0.25">
      <c r="A2" s="68" t="s">
        <v>122</v>
      </c>
      <c r="B2" s="68"/>
      <c r="C2" s="68"/>
      <c r="D2" s="68"/>
      <c r="E2" s="68"/>
      <c r="F2" s="68"/>
      <c r="G2" s="68"/>
    </row>
    <row r="3" spans="1:7" ht="30" x14ac:dyDescent="0.25">
      <c r="A3" s="63" t="s">
        <v>33</v>
      </c>
      <c r="B3" s="63" t="s">
        <v>123</v>
      </c>
      <c r="C3" s="63" t="s">
        <v>124</v>
      </c>
      <c r="D3" s="63" t="s">
        <v>125</v>
      </c>
      <c r="E3" s="63" t="s">
        <v>126</v>
      </c>
      <c r="F3" s="63" t="s">
        <v>127</v>
      </c>
      <c r="G3" s="63" t="s">
        <v>128</v>
      </c>
    </row>
    <row r="4" spans="1:7" ht="45" x14ac:dyDescent="0.25">
      <c r="A4" s="25">
        <v>1</v>
      </c>
      <c r="B4" s="25" t="s">
        <v>129</v>
      </c>
      <c r="C4" s="25">
        <v>6627.7</v>
      </c>
      <c r="D4" s="25">
        <v>6653.9</v>
      </c>
      <c r="E4" s="25">
        <f>+D4-C4</f>
        <v>26.199999999999818</v>
      </c>
      <c r="F4" s="64">
        <v>80</v>
      </c>
      <c r="G4" s="64">
        <f>+E4*F4</f>
        <v>2095.9999999999854</v>
      </c>
    </row>
    <row r="5" spans="1:7" ht="45" x14ac:dyDescent="0.25">
      <c r="A5" s="25">
        <v>2</v>
      </c>
      <c r="B5" s="25" t="s">
        <v>130</v>
      </c>
      <c r="C5" s="25">
        <f>+D4</f>
        <v>6653.9</v>
      </c>
      <c r="D5" s="25">
        <v>6657.3</v>
      </c>
      <c r="E5" s="25">
        <f t="shared" ref="E5:E8" si="0">+D5-C5</f>
        <v>3.4000000000005457</v>
      </c>
      <c r="F5" s="64">
        <v>80</v>
      </c>
      <c r="G5" s="64">
        <f t="shared" ref="G5:G8" si="1">+E5*F5</f>
        <v>272.00000000004366</v>
      </c>
    </row>
    <row r="6" spans="1:7" x14ac:dyDescent="0.25">
      <c r="A6" s="25">
        <v>3</v>
      </c>
      <c r="B6" s="65">
        <v>44452</v>
      </c>
      <c r="C6" s="25">
        <f>+D5</f>
        <v>6657.3</v>
      </c>
      <c r="D6" s="25">
        <v>6658.5</v>
      </c>
      <c r="E6" s="25">
        <f t="shared" si="0"/>
        <v>1.1999999999998181</v>
      </c>
      <c r="F6" s="64">
        <v>80</v>
      </c>
      <c r="G6" s="64">
        <f t="shared" si="1"/>
        <v>95.999999999985448</v>
      </c>
    </row>
    <row r="7" spans="1:7" x14ac:dyDescent="0.25">
      <c r="A7" s="25">
        <v>4</v>
      </c>
      <c r="B7" s="65">
        <v>44453</v>
      </c>
      <c r="C7" s="25">
        <f>+D6</f>
        <v>6658.5</v>
      </c>
      <c r="D7" s="25">
        <v>6662.6</v>
      </c>
      <c r="E7" s="25">
        <f t="shared" si="0"/>
        <v>4.1000000000003638</v>
      </c>
      <c r="F7" s="64">
        <v>80</v>
      </c>
      <c r="G7" s="64">
        <f t="shared" si="1"/>
        <v>328.0000000000291</v>
      </c>
    </row>
    <row r="8" spans="1:7" x14ac:dyDescent="0.25">
      <c r="A8" s="25">
        <v>5</v>
      </c>
      <c r="B8" s="65">
        <v>44454</v>
      </c>
      <c r="C8" s="25">
        <f>+D7</f>
        <v>6662.6</v>
      </c>
      <c r="D8" s="25">
        <v>6668.9</v>
      </c>
      <c r="E8" s="25">
        <f t="shared" si="0"/>
        <v>6.2999999999992724</v>
      </c>
      <c r="F8" s="64">
        <v>80</v>
      </c>
      <c r="G8" s="64">
        <f t="shared" si="1"/>
        <v>503.99999999994179</v>
      </c>
    </row>
    <row r="9" spans="1:7" x14ac:dyDescent="0.25">
      <c r="E9" s="66">
        <f>SUM(E4:E8)</f>
        <v>41.199999999999818</v>
      </c>
      <c r="G9" s="67">
        <f>SUM(G4:G8)</f>
        <v>3295.9999999999854</v>
      </c>
    </row>
  </sheetData>
  <mergeCells count="1">
    <mergeCell ref="A2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0056D-201E-489F-85A7-0CF5324E8A08}">
  <sheetPr codeName="Hoja12">
    <tabColor rgb="FFFFFF00"/>
  </sheetPr>
  <dimension ref="A1:K6"/>
  <sheetViews>
    <sheetView workbookViewId="0">
      <selection activeCell="G14" sqref="G14:H14"/>
    </sheetView>
  </sheetViews>
  <sheetFormatPr baseColWidth="10" defaultRowHeight="15" x14ac:dyDescent="0.25"/>
  <cols>
    <col min="1" max="1" width="9.7109375" customWidth="1"/>
    <col min="2" max="2" width="16.85546875" customWidth="1"/>
    <col min="3" max="3" width="14" customWidth="1"/>
    <col min="4" max="4" width="28" customWidth="1"/>
    <col min="5" max="5" width="19.28515625" customWidth="1"/>
    <col min="6" max="6" width="10.85546875" customWidth="1"/>
    <col min="7" max="7" width="19.140625" customWidth="1"/>
    <col min="8" max="8" width="11" customWidth="1"/>
    <col min="9" max="9" width="23.42578125" customWidth="1"/>
    <col min="10" max="10" width="13.28515625" customWidth="1"/>
    <col min="11" max="11" width="12.28515625" customWidth="1"/>
  </cols>
  <sheetData>
    <row r="1" spans="1:11" ht="30" x14ac:dyDescent="0.25">
      <c r="A1" s="8" t="s">
        <v>33</v>
      </c>
      <c r="B1" s="8" t="s">
        <v>15</v>
      </c>
      <c r="C1" s="8" t="s">
        <v>39</v>
      </c>
      <c r="D1" s="8" t="s">
        <v>28</v>
      </c>
      <c r="E1" s="8" t="s">
        <v>29</v>
      </c>
      <c r="F1" s="8" t="s">
        <v>20</v>
      </c>
      <c r="G1" s="8" t="s">
        <v>30</v>
      </c>
      <c r="H1" s="8" t="s">
        <v>8</v>
      </c>
      <c r="I1" s="8" t="s">
        <v>5</v>
      </c>
      <c r="J1" s="8" t="s">
        <v>38</v>
      </c>
      <c r="K1" s="8" t="s">
        <v>6</v>
      </c>
    </row>
    <row r="2" spans="1:11" ht="15.75" customHeight="1" x14ac:dyDescent="0.25">
      <c r="A2" s="9"/>
      <c r="B2" s="13"/>
      <c r="C2" s="13"/>
      <c r="D2" s="11"/>
      <c r="E2" s="20"/>
      <c r="F2" s="16"/>
      <c r="G2" s="16"/>
      <c r="H2" s="16"/>
      <c r="I2" s="16"/>
      <c r="J2" s="19"/>
      <c r="K2" s="12"/>
    </row>
    <row r="3" spans="1:11" ht="15.75" customHeight="1" x14ac:dyDescent="0.25">
      <c r="A3" s="9">
        <f>+A4+1</f>
        <v>3</v>
      </c>
      <c r="B3" s="13" t="s">
        <v>17</v>
      </c>
      <c r="C3" s="13" t="s">
        <v>40</v>
      </c>
      <c r="D3" s="11" t="s">
        <v>2</v>
      </c>
      <c r="E3" s="20">
        <v>44</v>
      </c>
      <c r="F3" s="16" t="s">
        <v>23</v>
      </c>
      <c r="G3" s="16" t="s">
        <v>37</v>
      </c>
      <c r="H3" s="11" t="s">
        <v>11</v>
      </c>
      <c r="I3" s="16" t="s">
        <v>42</v>
      </c>
      <c r="J3" s="19" t="s">
        <v>43</v>
      </c>
      <c r="K3" s="12">
        <v>315</v>
      </c>
    </row>
    <row r="4" spans="1:11" ht="15.75" customHeight="1" x14ac:dyDescent="0.25">
      <c r="A4" s="9">
        <f>+A5+1</f>
        <v>2</v>
      </c>
      <c r="B4" s="13" t="s">
        <v>16</v>
      </c>
      <c r="C4" s="13" t="s">
        <v>41</v>
      </c>
      <c r="D4" s="11" t="s">
        <v>2</v>
      </c>
      <c r="E4" s="20">
        <v>44</v>
      </c>
      <c r="F4" s="16" t="s">
        <v>23</v>
      </c>
      <c r="G4" s="16" t="s">
        <v>37</v>
      </c>
      <c r="H4" s="11" t="s">
        <v>109</v>
      </c>
      <c r="I4" s="16" t="s">
        <v>14</v>
      </c>
      <c r="J4" s="19"/>
      <c r="K4" s="12">
        <v>1</v>
      </c>
    </row>
    <row r="5" spans="1:11" ht="15.75" customHeight="1" x14ac:dyDescent="0.25">
      <c r="A5" s="9">
        <f>+A6+1</f>
        <v>1</v>
      </c>
      <c r="B5" s="13" t="s">
        <v>17</v>
      </c>
      <c r="C5" s="13"/>
      <c r="D5" s="11" t="s">
        <v>2</v>
      </c>
      <c r="E5" s="20">
        <v>202112</v>
      </c>
      <c r="F5" s="16"/>
      <c r="G5" s="16" t="s">
        <v>31</v>
      </c>
      <c r="H5" s="11" t="s">
        <v>110</v>
      </c>
      <c r="I5" s="16" t="s">
        <v>32</v>
      </c>
      <c r="J5" s="19"/>
      <c r="K5" s="12"/>
    </row>
    <row r="6" spans="1:11" x14ac:dyDescent="0.25">
      <c r="K6" s="44">
        <f>SUM(K3:K5)</f>
        <v>316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E0EF-A344-4FB1-86E6-505A742B5D8D}">
  <sheetPr codeName="Hoja6">
    <tabColor rgb="FFFFFF00"/>
  </sheetPr>
  <dimension ref="A1:O6"/>
  <sheetViews>
    <sheetView topLeftCell="C1" workbookViewId="0">
      <selection activeCell="J12" sqref="J12"/>
    </sheetView>
  </sheetViews>
  <sheetFormatPr baseColWidth="10" defaultRowHeight="15" x14ac:dyDescent="0.25"/>
  <cols>
    <col min="1" max="1" width="7" customWidth="1"/>
    <col min="2" max="2" width="19" customWidth="1"/>
    <col min="3" max="3" width="14.28515625" customWidth="1"/>
    <col min="4" max="4" width="18.42578125" customWidth="1"/>
    <col min="5" max="5" width="10.28515625" customWidth="1"/>
    <col min="6" max="6" width="12.7109375" customWidth="1"/>
    <col min="7" max="7" width="6.140625" customWidth="1"/>
    <col min="8" max="8" width="8.7109375" customWidth="1"/>
    <col min="9" max="9" width="15.42578125" customWidth="1"/>
    <col min="10" max="10" width="17.140625" customWidth="1"/>
    <col min="11" max="11" width="11.28515625" customWidth="1"/>
    <col min="12" max="12" width="20" customWidth="1"/>
    <col min="13" max="13" width="11.28515625" customWidth="1"/>
    <col min="14" max="14" width="9.85546875" customWidth="1"/>
    <col min="15" max="15" width="10" customWidth="1"/>
  </cols>
  <sheetData>
    <row r="1" spans="1:15" ht="30" x14ac:dyDescent="0.25">
      <c r="A1" s="8" t="s">
        <v>12</v>
      </c>
      <c r="B1" s="8" t="s">
        <v>59</v>
      </c>
      <c r="C1" s="8" t="s">
        <v>46</v>
      </c>
      <c r="D1" s="8" t="s">
        <v>44</v>
      </c>
      <c r="E1" s="8" t="s">
        <v>47</v>
      </c>
      <c r="F1" s="8" t="s">
        <v>45</v>
      </c>
      <c r="G1" s="8" t="s">
        <v>48</v>
      </c>
      <c r="H1" s="8" t="s">
        <v>49</v>
      </c>
      <c r="I1" s="8" t="s">
        <v>50</v>
      </c>
      <c r="J1" s="8" t="s">
        <v>21</v>
      </c>
      <c r="K1" s="8" t="s">
        <v>20</v>
      </c>
      <c r="L1" s="8" t="s">
        <v>22</v>
      </c>
      <c r="M1" s="8" t="s">
        <v>66</v>
      </c>
      <c r="N1" s="8" t="s">
        <v>67</v>
      </c>
      <c r="O1" s="8" t="s">
        <v>68</v>
      </c>
    </row>
    <row r="2" spans="1:15" x14ac:dyDescent="0.25">
      <c r="A2" s="4"/>
      <c r="B2" s="4"/>
      <c r="C2" s="1"/>
      <c r="D2" s="1"/>
      <c r="E2" s="17"/>
      <c r="F2" s="4"/>
      <c r="G2" s="4"/>
      <c r="H2" s="4"/>
      <c r="I2" s="4"/>
      <c r="J2" s="17"/>
      <c r="K2" s="4"/>
      <c r="L2" s="4"/>
      <c r="M2" s="12"/>
      <c r="N2" s="12"/>
      <c r="O2" s="12"/>
    </row>
    <row r="3" spans="1:15" x14ac:dyDescent="0.25">
      <c r="A3" s="4">
        <f>+A4+1</f>
        <v>2</v>
      </c>
      <c r="B3" s="6" t="s">
        <v>53</v>
      </c>
      <c r="C3" s="3" t="s">
        <v>61</v>
      </c>
      <c r="D3" s="3" t="s">
        <v>69</v>
      </c>
      <c r="E3" s="18">
        <v>7088888</v>
      </c>
      <c r="F3" s="23">
        <v>26642</v>
      </c>
      <c r="G3" s="4">
        <v>49</v>
      </c>
      <c r="H3" s="4" t="s">
        <v>55</v>
      </c>
      <c r="I3" s="4" t="s">
        <v>62</v>
      </c>
      <c r="J3" s="17">
        <v>44444</v>
      </c>
      <c r="K3" s="4" t="s">
        <v>23</v>
      </c>
      <c r="L3" s="4" t="s">
        <v>70</v>
      </c>
      <c r="M3" s="12">
        <v>2100</v>
      </c>
      <c r="N3" s="12">
        <v>65</v>
      </c>
      <c r="O3" s="12">
        <v>3</v>
      </c>
    </row>
    <row r="4" spans="1:15" x14ac:dyDescent="0.25">
      <c r="A4" s="4">
        <f>+A5+1</f>
        <v>1</v>
      </c>
      <c r="B4" s="6" t="s">
        <v>52</v>
      </c>
      <c r="C4" s="3" t="s">
        <v>63</v>
      </c>
      <c r="D4" s="3" t="s">
        <v>64</v>
      </c>
      <c r="E4" s="18">
        <v>70861868</v>
      </c>
      <c r="F4" s="4" t="s">
        <v>19</v>
      </c>
      <c r="G4" s="4">
        <v>26</v>
      </c>
      <c r="H4" s="4" t="s">
        <v>56</v>
      </c>
      <c r="I4" s="4" t="s">
        <v>60</v>
      </c>
      <c r="J4" s="17">
        <v>4444444</v>
      </c>
      <c r="K4" s="4" t="s">
        <v>23</v>
      </c>
      <c r="L4" s="4" t="s">
        <v>65</v>
      </c>
      <c r="M4" s="12">
        <v>315</v>
      </c>
      <c r="N4" s="12">
        <v>315</v>
      </c>
      <c r="O4" s="12">
        <v>315</v>
      </c>
    </row>
    <row r="5" spans="1:15" x14ac:dyDescent="0.25">
      <c r="A5" s="6"/>
      <c r="B5" s="6"/>
      <c r="C5" s="3"/>
      <c r="D5" s="3"/>
      <c r="E5" s="18"/>
      <c r="F5" s="6"/>
      <c r="G5" s="6"/>
      <c r="H5" s="3"/>
      <c r="I5" s="18"/>
      <c r="J5" s="18"/>
      <c r="K5" s="3"/>
      <c r="L5" s="3"/>
      <c r="M5" s="12"/>
      <c r="N5" s="12"/>
      <c r="O5" s="12"/>
    </row>
    <row r="6" spans="1:15" x14ac:dyDescent="0.25">
      <c r="M6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1DB3-B5B5-4AFD-94D6-6B04841CD1EF}">
  <sheetPr codeName="Hoja9">
    <tabColor rgb="FFFFFF00"/>
  </sheetPr>
  <dimension ref="A1:N4"/>
  <sheetViews>
    <sheetView workbookViewId="0">
      <selection activeCell="J7" sqref="J7"/>
    </sheetView>
  </sheetViews>
  <sheetFormatPr baseColWidth="10" defaultRowHeight="15" x14ac:dyDescent="0.25"/>
  <cols>
    <col min="3" max="3" width="12.42578125" customWidth="1"/>
    <col min="4" max="4" width="18.28515625" customWidth="1"/>
    <col min="5" max="5" width="12.28515625" customWidth="1"/>
    <col min="6" max="6" width="13.28515625" customWidth="1"/>
    <col min="7" max="7" width="14.140625" customWidth="1"/>
    <col min="8" max="8" width="12.7109375" customWidth="1"/>
    <col min="10" max="10" width="14.7109375" customWidth="1"/>
    <col min="12" max="12" width="13.140625" customWidth="1"/>
    <col min="15" max="15" width="25.7109375" customWidth="1"/>
  </cols>
  <sheetData>
    <row r="1" spans="1:14" x14ac:dyDescent="0.25">
      <c r="A1" s="8" t="s">
        <v>12</v>
      </c>
      <c r="B1" s="8" t="s">
        <v>59</v>
      </c>
      <c r="C1" s="8" t="s">
        <v>46</v>
      </c>
      <c r="D1" s="8" t="s">
        <v>44</v>
      </c>
      <c r="E1" s="8" t="s">
        <v>49</v>
      </c>
      <c r="F1" s="71" t="s">
        <v>97</v>
      </c>
      <c r="G1" s="71"/>
      <c r="H1" s="71"/>
      <c r="I1" s="71" t="s">
        <v>103</v>
      </c>
      <c r="J1" s="71"/>
      <c r="K1" s="71"/>
      <c r="L1" s="69" t="s">
        <v>104</v>
      </c>
      <c r="M1" s="69" t="s">
        <v>105</v>
      </c>
      <c r="N1" s="69" t="s">
        <v>9</v>
      </c>
    </row>
    <row r="2" spans="1:14" ht="20.25" customHeight="1" x14ac:dyDescent="0.25">
      <c r="A2" s="4"/>
      <c r="B2" s="4"/>
      <c r="C2" s="1"/>
      <c r="D2" s="1"/>
      <c r="E2" s="4"/>
      <c r="F2" s="72"/>
      <c r="G2" s="72"/>
      <c r="H2" s="72"/>
      <c r="I2" s="72"/>
      <c r="J2" s="72"/>
      <c r="K2" s="72"/>
      <c r="L2" s="70"/>
      <c r="M2" s="70"/>
      <c r="N2" s="70"/>
    </row>
    <row r="3" spans="1:14" ht="20.25" customHeight="1" x14ac:dyDescent="0.25">
      <c r="A3" s="4">
        <f>+A4+1</f>
        <v>2</v>
      </c>
      <c r="B3" s="6" t="s">
        <v>53</v>
      </c>
      <c r="C3" s="3" t="s">
        <v>61</v>
      </c>
      <c r="D3" s="3" t="s">
        <v>69</v>
      </c>
      <c r="E3" s="4" t="s">
        <v>55</v>
      </c>
      <c r="F3" s="43">
        <v>44</v>
      </c>
      <c r="G3" s="51">
        <v>1</v>
      </c>
      <c r="H3" s="44">
        <f>+F3*10</f>
        <v>440</v>
      </c>
      <c r="I3" s="43">
        <v>44</v>
      </c>
      <c r="J3" s="4" t="s">
        <v>95</v>
      </c>
      <c r="K3" s="44">
        <f>+I3*10</f>
        <v>440</v>
      </c>
      <c r="L3" s="44">
        <f>+H3+K3</f>
        <v>880</v>
      </c>
      <c r="M3" s="44">
        <v>400</v>
      </c>
      <c r="N3" s="44">
        <f>+L3-M3</f>
        <v>480</v>
      </c>
    </row>
    <row r="4" spans="1:14" ht="20.25" customHeight="1" x14ac:dyDescent="0.25">
      <c r="A4" s="4">
        <f>+A5+1</f>
        <v>1</v>
      </c>
      <c r="B4" s="6" t="s">
        <v>52</v>
      </c>
      <c r="C4" s="3" t="s">
        <v>63</v>
      </c>
      <c r="D4" s="3" t="s">
        <v>64</v>
      </c>
      <c r="E4" s="4" t="s">
        <v>56</v>
      </c>
      <c r="F4" s="43">
        <v>44</v>
      </c>
      <c r="G4" s="51">
        <v>2</v>
      </c>
      <c r="H4" s="44">
        <f>+F4*10</f>
        <v>440</v>
      </c>
      <c r="I4" s="43">
        <v>44</v>
      </c>
      <c r="J4" s="4" t="s">
        <v>96</v>
      </c>
      <c r="K4" s="44">
        <f>+I4*10</f>
        <v>440</v>
      </c>
      <c r="L4" s="44">
        <f>+H4+K4</f>
        <v>880</v>
      </c>
      <c r="M4" s="44">
        <v>500</v>
      </c>
      <c r="N4" s="44">
        <f>+L4-M4</f>
        <v>380</v>
      </c>
    </row>
  </sheetData>
  <mergeCells count="7">
    <mergeCell ref="N1:N2"/>
    <mergeCell ref="F1:H1"/>
    <mergeCell ref="F2:H2"/>
    <mergeCell ref="I1:K1"/>
    <mergeCell ref="I2:K2"/>
    <mergeCell ref="L1:L2"/>
    <mergeCell ref="M1:M2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9F46B-486C-4528-BA6E-BC76334D4E85}">
  <sheetPr codeName="Hoja8">
    <tabColor rgb="FFFFFF00"/>
    <pageSetUpPr fitToPage="1"/>
  </sheetPr>
  <dimension ref="B1:AG21"/>
  <sheetViews>
    <sheetView view="pageBreakPreview" zoomScaleNormal="100" zoomScaleSheetLayoutView="100" workbookViewId="0">
      <pane xSplit="5" ySplit="10" topLeftCell="O11" activePane="bottomRight" state="frozen"/>
      <selection pane="topRight" activeCell="F1" sqref="F1"/>
      <selection pane="bottomLeft" activeCell="A11" sqref="A11"/>
      <selection pane="bottomRight" activeCell="AG11" sqref="AG11"/>
    </sheetView>
  </sheetViews>
  <sheetFormatPr baseColWidth="10" defaultRowHeight="15" x14ac:dyDescent="0.25"/>
  <cols>
    <col min="1" max="1" width="4.140625" customWidth="1"/>
    <col min="2" max="2" width="3.85546875" customWidth="1"/>
    <col min="3" max="3" width="34" customWidth="1"/>
    <col min="4" max="4" width="1.7109375" customWidth="1"/>
    <col min="5" max="5" width="14.42578125" customWidth="1"/>
    <col min="6" max="6" width="14.42578125" hidden="1" customWidth="1"/>
    <col min="7" max="7" width="26" hidden="1" customWidth="1"/>
    <col min="8" max="8" width="16.5703125" hidden="1" customWidth="1"/>
    <col min="9" max="9" width="10.140625" hidden="1" customWidth="1"/>
    <col min="10" max="12" width="5.42578125" hidden="1" customWidth="1"/>
    <col min="13" max="27" width="5.42578125" customWidth="1"/>
    <col min="28" max="28" width="6.7109375" customWidth="1"/>
    <col min="29" max="29" width="9.85546875" customWidth="1"/>
    <col min="30" max="31" width="8.140625" customWidth="1"/>
    <col min="32" max="32" width="8.42578125" customWidth="1"/>
    <col min="33" max="33" width="16.140625" customWidth="1"/>
  </cols>
  <sheetData>
    <row r="1" spans="2:33" s="24" customFormat="1" ht="17.25" customHeight="1" thickBot="1" x14ac:dyDescent="0.25"/>
    <row r="2" spans="2:33" s="24" customFormat="1" ht="17.25" customHeight="1" thickBot="1" x14ac:dyDescent="0.25">
      <c r="B2" s="83" t="s">
        <v>71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5"/>
    </row>
    <row r="3" spans="2:33" s="24" customFormat="1" ht="17.25" customHeight="1" x14ac:dyDescent="0.2">
      <c r="B3" s="86" t="str">
        <f>+[1]PERSONAL!B2</f>
        <v xml:space="preserve">PROYECTO: "CONSTRUCCION DE ESCALERA EN EL PABELLON C Y D DE LA UNIVERSIDAD PERUANA UNION - FJ"
</v>
      </c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8"/>
    </row>
    <row r="4" spans="2:33" s="24" customFormat="1" ht="17.25" customHeight="1" x14ac:dyDescent="0.2">
      <c r="B4" s="89" t="s">
        <v>72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1"/>
    </row>
    <row r="5" spans="2:33" s="24" customFormat="1" ht="17.25" customHeight="1" x14ac:dyDescent="0.2">
      <c r="B5" s="89" t="str">
        <f>+[1]PERSONAL!B4</f>
        <v>ACTIVIDAD DEL TRABAJO: Construcción de escaleras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</row>
    <row r="6" spans="2:33" s="24" customFormat="1" ht="17.25" customHeight="1" x14ac:dyDescent="0.2">
      <c r="B6" s="89" t="s">
        <v>73</v>
      </c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1"/>
    </row>
    <row r="7" spans="2:33" s="24" customFormat="1" ht="17.25" customHeight="1" thickBot="1" x14ac:dyDescent="0.25">
      <c r="B7" s="92" t="s">
        <v>74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4"/>
    </row>
    <row r="8" spans="2:33" s="24" customFormat="1" ht="32.25" customHeight="1" x14ac:dyDescent="0.2">
      <c r="B8" s="95"/>
      <c r="C8" s="79" t="s">
        <v>75</v>
      </c>
      <c r="D8" s="79" t="s">
        <v>47</v>
      </c>
      <c r="E8" s="79" t="s">
        <v>76</v>
      </c>
      <c r="F8" s="79" t="s">
        <v>77</v>
      </c>
      <c r="G8" s="79" t="s">
        <v>78</v>
      </c>
      <c r="H8" s="79"/>
      <c r="I8" s="80"/>
      <c r="J8" s="97" t="s">
        <v>79</v>
      </c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3" t="s">
        <v>98</v>
      </c>
      <c r="AC8" s="77" t="s">
        <v>102</v>
      </c>
      <c r="AD8" s="77" t="s">
        <v>100</v>
      </c>
      <c r="AE8" s="77" t="s">
        <v>101</v>
      </c>
      <c r="AF8" s="73" t="s">
        <v>99</v>
      </c>
      <c r="AG8" s="75" t="s">
        <v>80</v>
      </c>
    </row>
    <row r="9" spans="2:33" s="24" customFormat="1" ht="15.75" customHeight="1" x14ac:dyDescent="0.2">
      <c r="B9" s="96"/>
      <c r="C9" s="81"/>
      <c r="D9" s="81"/>
      <c r="E9" s="81"/>
      <c r="F9" s="81"/>
      <c r="G9" s="81" t="s">
        <v>81</v>
      </c>
      <c r="H9" s="81" t="s">
        <v>82</v>
      </c>
      <c r="I9" s="82" t="s">
        <v>20</v>
      </c>
      <c r="J9" s="27" t="s">
        <v>83</v>
      </c>
      <c r="K9" s="28" t="s">
        <v>84</v>
      </c>
      <c r="L9" s="28" t="s">
        <v>85</v>
      </c>
      <c r="M9" s="28" t="s">
        <v>85</v>
      </c>
      <c r="N9" s="28" t="s">
        <v>86</v>
      </c>
      <c r="O9" s="28" t="s">
        <v>87</v>
      </c>
      <c r="P9" s="28" t="s">
        <v>88</v>
      </c>
      <c r="Q9" s="28" t="s">
        <v>83</v>
      </c>
      <c r="R9" s="28" t="s">
        <v>84</v>
      </c>
      <c r="S9" s="28" t="s">
        <v>85</v>
      </c>
      <c r="T9" s="28" t="s">
        <v>85</v>
      </c>
      <c r="U9" s="28" t="s">
        <v>86</v>
      </c>
      <c r="V9" s="28" t="s">
        <v>87</v>
      </c>
      <c r="W9" s="28" t="s">
        <v>88</v>
      </c>
      <c r="X9" s="28" t="s">
        <v>83</v>
      </c>
      <c r="Y9" s="28" t="s">
        <v>84</v>
      </c>
      <c r="Z9" s="28" t="s">
        <v>85</v>
      </c>
      <c r="AA9" s="28" t="s">
        <v>85</v>
      </c>
      <c r="AB9" s="74"/>
      <c r="AC9" s="78"/>
      <c r="AD9" s="78"/>
      <c r="AE9" s="78"/>
      <c r="AF9" s="74"/>
      <c r="AG9" s="76"/>
    </row>
    <row r="10" spans="2:33" s="24" customFormat="1" ht="12" x14ac:dyDescent="0.2">
      <c r="B10" s="96"/>
      <c r="C10" s="81"/>
      <c r="D10" s="81"/>
      <c r="E10" s="81"/>
      <c r="F10" s="81"/>
      <c r="G10" s="81"/>
      <c r="H10" s="81"/>
      <c r="I10" s="82"/>
      <c r="J10" s="29"/>
      <c r="K10" s="30"/>
      <c r="L10" s="30"/>
      <c r="M10" s="45">
        <v>1</v>
      </c>
      <c r="N10" s="45">
        <f>+M10+1</f>
        <v>2</v>
      </c>
      <c r="O10" s="45">
        <f t="shared" ref="O10:AA10" si="0">+N10+1</f>
        <v>3</v>
      </c>
      <c r="P10" s="45">
        <f t="shared" si="0"/>
        <v>4</v>
      </c>
      <c r="Q10" s="45">
        <f t="shared" si="0"/>
        <v>5</v>
      </c>
      <c r="R10" s="45">
        <f t="shared" si="0"/>
        <v>6</v>
      </c>
      <c r="S10" s="45">
        <f t="shared" si="0"/>
        <v>7</v>
      </c>
      <c r="T10" s="45">
        <f t="shared" si="0"/>
        <v>8</v>
      </c>
      <c r="U10" s="45">
        <f t="shared" si="0"/>
        <v>9</v>
      </c>
      <c r="V10" s="45">
        <f t="shared" si="0"/>
        <v>10</v>
      </c>
      <c r="W10" s="45">
        <f t="shared" si="0"/>
        <v>11</v>
      </c>
      <c r="X10" s="45">
        <f t="shared" si="0"/>
        <v>12</v>
      </c>
      <c r="Y10" s="45">
        <f t="shared" si="0"/>
        <v>13</v>
      </c>
      <c r="Z10" s="45">
        <f t="shared" si="0"/>
        <v>14</v>
      </c>
      <c r="AA10" s="45">
        <f t="shared" si="0"/>
        <v>15</v>
      </c>
      <c r="AB10" s="74"/>
      <c r="AC10" s="78"/>
      <c r="AD10" s="78"/>
      <c r="AE10" s="78"/>
      <c r="AF10" s="74"/>
      <c r="AG10" s="76"/>
    </row>
    <row r="11" spans="2:33" s="26" customFormat="1" ht="12.75" customHeight="1" x14ac:dyDescent="0.25">
      <c r="B11" s="31">
        <f>+[1]PERSONAL!B6</f>
        <v>1</v>
      </c>
      <c r="C11" s="32" t="str">
        <f>+[1]PERSONAL!C8</f>
        <v>CCALLA RIVEROS FRITZ</v>
      </c>
      <c r="D11" s="33" t="str">
        <f>+[1]PERSONAL!D8</f>
        <v>01323711</v>
      </c>
      <c r="E11" s="34" t="str">
        <f>+[1]PERSONAL!F8</f>
        <v>Maestro de Obra</v>
      </c>
      <c r="F11" s="34" t="str">
        <f>+[1]PERSONAL!H8</f>
        <v>941 873 771</v>
      </c>
      <c r="G11" s="32" t="str">
        <f>+C11</f>
        <v>CCALLA RIVEROS FRITZ</v>
      </c>
      <c r="H11" s="35" t="s">
        <v>89</v>
      </c>
      <c r="I11" s="36" t="s">
        <v>23</v>
      </c>
      <c r="J11" s="37"/>
      <c r="K11" s="34"/>
      <c r="L11" s="34"/>
      <c r="M11" s="34">
        <v>8</v>
      </c>
      <c r="N11" s="34">
        <v>8</v>
      </c>
      <c r="O11" s="34">
        <v>8</v>
      </c>
      <c r="P11" s="48"/>
      <c r="Q11" s="34">
        <v>4</v>
      </c>
      <c r="R11" s="34">
        <v>8</v>
      </c>
      <c r="S11" s="34">
        <v>8</v>
      </c>
      <c r="T11" s="34">
        <v>8</v>
      </c>
      <c r="U11" s="34">
        <v>8</v>
      </c>
      <c r="V11" s="34">
        <v>8</v>
      </c>
      <c r="W11" s="49"/>
      <c r="X11" s="34">
        <v>4</v>
      </c>
      <c r="Y11" s="34">
        <v>8</v>
      </c>
      <c r="Z11" s="34">
        <v>8</v>
      </c>
      <c r="AA11" s="34">
        <v>8</v>
      </c>
      <c r="AB11" s="47">
        <f>SUM(M11:AA11)</f>
        <v>96</v>
      </c>
      <c r="AC11" s="50">
        <v>3000</v>
      </c>
      <c r="AD11" s="50">
        <f>+(AC11/2)/(96+2*8)</f>
        <v>13.392857142857142</v>
      </c>
      <c r="AE11" s="50">
        <f>+AD11*8</f>
        <v>107.14285714285714</v>
      </c>
      <c r="AF11" s="38">
        <v>2</v>
      </c>
      <c r="AG11" s="46">
        <f>+AB11*AD11+AE11*AF11</f>
        <v>1500</v>
      </c>
    </row>
    <row r="12" spans="2:33" s="26" customFormat="1" ht="12.75" customHeight="1" x14ac:dyDescent="0.25">
      <c r="B12" s="31">
        <f>+[1]PERSONAL!B7</f>
        <v>2</v>
      </c>
      <c r="C12" s="32" t="str">
        <f>+[1]PERSONAL!C9</f>
        <v>CCAZA CARI RUBEN DARIO</v>
      </c>
      <c r="D12" s="33">
        <f>+[1]PERSONAL!D9</f>
        <v>71589361</v>
      </c>
      <c r="E12" s="34" t="str">
        <f>+[1]PERSONAL!F9</f>
        <v>Operario</v>
      </c>
      <c r="F12" s="34" t="str">
        <f>+[1]PERSONAL!H9</f>
        <v>975 265 640</v>
      </c>
      <c r="G12" s="32" t="str">
        <f>+C12</f>
        <v>CCAZA CARI RUBEN DARIO</v>
      </c>
      <c r="H12" s="35" t="s">
        <v>90</v>
      </c>
      <c r="I12" s="36" t="s">
        <v>23</v>
      </c>
      <c r="J12" s="37"/>
      <c r="K12" s="34"/>
      <c r="L12" s="34"/>
      <c r="M12" s="34">
        <v>8</v>
      </c>
      <c r="N12" s="34">
        <v>8</v>
      </c>
      <c r="O12" s="34">
        <v>8</v>
      </c>
      <c r="P12" s="48"/>
      <c r="Q12" s="34">
        <v>4</v>
      </c>
      <c r="R12" s="34">
        <v>8</v>
      </c>
      <c r="S12" s="34">
        <v>8</v>
      </c>
      <c r="T12" s="34">
        <v>8</v>
      </c>
      <c r="U12" s="34">
        <v>8</v>
      </c>
      <c r="V12" s="34">
        <v>8</v>
      </c>
      <c r="W12" s="49"/>
      <c r="X12" s="34">
        <v>4</v>
      </c>
      <c r="Y12" s="34">
        <v>8</v>
      </c>
      <c r="Z12" s="34">
        <v>8</v>
      </c>
      <c r="AA12" s="34">
        <v>8</v>
      </c>
      <c r="AB12" s="47">
        <f>SUM(M12:AA12)</f>
        <v>96</v>
      </c>
      <c r="AC12" s="50">
        <v>1950</v>
      </c>
      <c r="AD12" s="50">
        <f t="shared" ref="AD12:AD17" si="1">+(AC12/2)/(96+2*8)</f>
        <v>8.7053571428571423</v>
      </c>
      <c r="AE12" s="50">
        <f t="shared" ref="AE12:AE17" si="2">+AD12*8</f>
        <v>69.642857142857139</v>
      </c>
      <c r="AF12" s="38">
        <v>2</v>
      </c>
      <c r="AG12" s="46">
        <f t="shared" ref="AG12:AG17" si="3">+AB12*AD12+AE12*AF12</f>
        <v>975</v>
      </c>
    </row>
    <row r="13" spans="2:33" s="26" customFormat="1" ht="12.75" customHeight="1" x14ac:dyDescent="0.25">
      <c r="B13" s="31">
        <f>+[1]PERSONAL!B8</f>
        <v>3</v>
      </c>
      <c r="C13" s="32" t="str">
        <f>+[1]PERSONAL!C10</f>
        <v>TISNADO GALLEGOS ALFONSO</v>
      </c>
      <c r="D13" s="33" t="str">
        <f>+[1]PERSONAL!D10</f>
        <v>01220085</v>
      </c>
      <c r="E13" s="34" t="str">
        <f>+[1]PERSONAL!F10</f>
        <v>Operario</v>
      </c>
      <c r="F13" s="34" t="str">
        <f>+[1]PERSONAL!H10</f>
        <v>944 331 050</v>
      </c>
      <c r="G13" s="32" t="str">
        <f>+C13</f>
        <v>TISNADO GALLEGOS ALFONSO</v>
      </c>
      <c r="H13" s="35" t="s">
        <v>91</v>
      </c>
      <c r="I13" s="36" t="s">
        <v>23</v>
      </c>
      <c r="J13" s="37"/>
      <c r="K13" s="34"/>
      <c r="L13" s="34"/>
      <c r="M13" s="34">
        <v>8</v>
      </c>
      <c r="N13" s="34">
        <v>8</v>
      </c>
      <c r="O13" s="34">
        <v>8</v>
      </c>
      <c r="P13" s="48"/>
      <c r="Q13" s="34">
        <v>4</v>
      </c>
      <c r="R13" s="34">
        <v>8</v>
      </c>
      <c r="S13" s="34">
        <v>8</v>
      </c>
      <c r="T13" s="34">
        <v>8</v>
      </c>
      <c r="U13" s="34">
        <v>8</v>
      </c>
      <c r="V13" s="34">
        <v>8</v>
      </c>
      <c r="W13" s="49"/>
      <c r="X13" s="34">
        <v>4</v>
      </c>
      <c r="Y13" s="34">
        <v>8</v>
      </c>
      <c r="Z13" s="34">
        <v>8</v>
      </c>
      <c r="AA13" s="34">
        <v>8</v>
      </c>
      <c r="AB13" s="47">
        <f t="shared" ref="AB13:AB17" si="4">SUM(M13:AA13)</f>
        <v>96</v>
      </c>
      <c r="AC13" s="50">
        <v>1950</v>
      </c>
      <c r="AD13" s="50">
        <f t="shared" si="1"/>
        <v>8.7053571428571423</v>
      </c>
      <c r="AE13" s="50">
        <f t="shared" si="2"/>
        <v>69.642857142857139</v>
      </c>
      <c r="AF13" s="38">
        <v>2</v>
      </c>
      <c r="AG13" s="46">
        <f t="shared" si="3"/>
        <v>975</v>
      </c>
    </row>
    <row r="14" spans="2:33" s="26" customFormat="1" ht="12.75" customHeight="1" x14ac:dyDescent="0.25">
      <c r="B14" s="31">
        <f>+[1]PERSONAL!B9</f>
        <v>4</v>
      </c>
      <c r="C14" s="32" t="str">
        <f>+[1]PERSONAL!C11</f>
        <v>SUCACAHUA SUCACAHUA EDGAR</v>
      </c>
      <c r="D14" s="33" t="str">
        <f>+[1]PERSONAL!D11</f>
        <v>77391430</v>
      </c>
      <c r="E14" s="34" t="str">
        <f>+[1]PERSONAL!F11</f>
        <v>Oficial</v>
      </c>
      <c r="F14" s="34" t="str">
        <f>+[1]PERSONAL!H11</f>
        <v>910 100 497</v>
      </c>
      <c r="G14" s="32"/>
      <c r="H14" s="35"/>
      <c r="I14" s="36"/>
      <c r="J14" s="37"/>
      <c r="K14" s="34"/>
      <c r="L14" s="34"/>
      <c r="M14" s="34">
        <v>8</v>
      </c>
      <c r="N14" s="34">
        <v>8</v>
      </c>
      <c r="O14" s="34">
        <v>8</v>
      </c>
      <c r="P14" s="48"/>
      <c r="Q14" s="34">
        <v>4</v>
      </c>
      <c r="R14" s="34">
        <v>8</v>
      </c>
      <c r="S14" s="34">
        <v>8</v>
      </c>
      <c r="T14" s="34">
        <v>8</v>
      </c>
      <c r="U14" s="34">
        <v>8</v>
      </c>
      <c r="V14" s="34">
        <v>8</v>
      </c>
      <c r="W14" s="49"/>
      <c r="X14" s="34">
        <v>4</v>
      </c>
      <c r="Y14" s="34">
        <v>8</v>
      </c>
      <c r="Z14" s="34">
        <v>8</v>
      </c>
      <c r="AA14" s="34">
        <v>8</v>
      </c>
      <c r="AB14" s="47">
        <f t="shared" si="4"/>
        <v>96</v>
      </c>
      <c r="AC14" s="50">
        <v>1700</v>
      </c>
      <c r="AD14" s="50">
        <f t="shared" si="1"/>
        <v>7.5892857142857144</v>
      </c>
      <c r="AE14" s="50">
        <f t="shared" si="2"/>
        <v>60.714285714285715</v>
      </c>
      <c r="AF14" s="38">
        <v>2</v>
      </c>
      <c r="AG14" s="46">
        <f t="shared" si="3"/>
        <v>850</v>
      </c>
    </row>
    <row r="15" spans="2:33" s="26" customFormat="1" ht="12.75" customHeight="1" x14ac:dyDescent="0.25">
      <c r="B15" s="31">
        <f>+[1]PERSONAL!B10</f>
        <v>5</v>
      </c>
      <c r="C15" s="32" t="str">
        <f>+[1]PERSONAL!C12</f>
        <v>MACHACA SUCASACA NAZARIO</v>
      </c>
      <c r="D15" s="33">
        <f>+[1]PERSONAL!D12</f>
        <v>70253021</v>
      </c>
      <c r="E15" s="34" t="str">
        <f>+[1]PERSONAL!F12</f>
        <v>Oficial</v>
      </c>
      <c r="F15" s="34" t="str">
        <f>+[1]PERSONAL!H12</f>
        <v>964 528 586</v>
      </c>
      <c r="G15" s="32"/>
      <c r="H15" s="35"/>
      <c r="I15" s="36"/>
      <c r="J15" s="37"/>
      <c r="K15" s="34"/>
      <c r="L15" s="34"/>
      <c r="M15" s="34"/>
      <c r="N15" s="34">
        <v>8</v>
      </c>
      <c r="O15" s="34">
        <v>8</v>
      </c>
      <c r="P15" s="48"/>
      <c r="Q15" s="34">
        <v>4</v>
      </c>
      <c r="R15" s="34">
        <v>8</v>
      </c>
      <c r="S15" s="34">
        <v>8</v>
      </c>
      <c r="T15" s="34">
        <v>8</v>
      </c>
      <c r="U15" s="34">
        <v>8</v>
      </c>
      <c r="V15" s="34">
        <v>8</v>
      </c>
      <c r="W15" s="49"/>
      <c r="X15" s="34">
        <v>4</v>
      </c>
      <c r="Y15" s="34">
        <v>8</v>
      </c>
      <c r="Z15" s="34">
        <v>8</v>
      </c>
      <c r="AA15" s="34">
        <v>8</v>
      </c>
      <c r="AB15" s="47">
        <f t="shared" si="4"/>
        <v>88</v>
      </c>
      <c r="AC15" s="50">
        <v>1700</v>
      </c>
      <c r="AD15" s="50">
        <f t="shared" si="1"/>
        <v>7.5892857142857144</v>
      </c>
      <c r="AE15" s="50">
        <f t="shared" si="2"/>
        <v>60.714285714285715</v>
      </c>
      <c r="AF15" s="38">
        <v>2</v>
      </c>
      <c r="AG15" s="46">
        <f t="shared" si="3"/>
        <v>789.28571428571433</v>
      </c>
    </row>
    <row r="16" spans="2:33" s="26" customFormat="1" ht="12.75" customHeight="1" x14ac:dyDescent="0.25">
      <c r="B16" s="31">
        <f>+[1]PERSONAL!B11</f>
        <v>6</v>
      </c>
      <c r="C16" s="32" t="str">
        <f>+[1]PERSONAL!C13</f>
        <v>HUARACHE CCOPA WILFREDO PERCY</v>
      </c>
      <c r="D16" s="33">
        <f>+[1]PERSONAL!D13</f>
        <v>48904165</v>
      </c>
      <c r="E16" s="34" t="str">
        <f>+[1]PERSONAL!F13</f>
        <v>Oficial</v>
      </c>
      <c r="F16" s="34" t="str">
        <f>+[1]PERSONAL!H13</f>
        <v>979 656 840</v>
      </c>
      <c r="G16" s="32" t="str">
        <f>+C16</f>
        <v>HUARACHE CCOPA WILFREDO PERCY</v>
      </c>
      <c r="H16" s="35" t="s">
        <v>92</v>
      </c>
      <c r="I16" s="36" t="s">
        <v>23</v>
      </c>
      <c r="J16" s="37"/>
      <c r="K16" s="34"/>
      <c r="L16" s="34"/>
      <c r="M16" s="34"/>
      <c r="N16" s="34">
        <v>8</v>
      </c>
      <c r="O16" s="34">
        <v>8</v>
      </c>
      <c r="P16" s="48"/>
      <c r="Q16" s="34">
        <v>4</v>
      </c>
      <c r="R16" s="34">
        <v>8</v>
      </c>
      <c r="S16" s="34">
        <v>8</v>
      </c>
      <c r="T16" s="34">
        <v>8</v>
      </c>
      <c r="U16" s="34">
        <v>8</v>
      </c>
      <c r="V16" s="34">
        <v>8</v>
      </c>
      <c r="W16" s="49"/>
      <c r="X16" s="34">
        <v>4</v>
      </c>
      <c r="Y16" s="34">
        <v>8</v>
      </c>
      <c r="Z16" s="34">
        <v>8</v>
      </c>
      <c r="AA16" s="34">
        <v>8</v>
      </c>
      <c r="AB16" s="47">
        <f t="shared" si="4"/>
        <v>88</v>
      </c>
      <c r="AC16" s="50">
        <v>1700</v>
      </c>
      <c r="AD16" s="50">
        <f t="shared" si="1"/>
        <v>7.5892857142857144</v>
      </c>
      <c r="AE16" s="50">
        <f t="shared" si="2"/>
        <v>60.714285714285715</v>
      </c>
      <c r="AF16" s="38">
        <v>2</v>
      </c>
      <c r="AG16" s="46">
        <f t="shared" si="3"/>
        <v>789.28571428571433</v>
      </c>
    </row>
    <row r="17" spans="2:33" s="26" customFormat="1" ht="12.75" customHeight="1" x14ac:dyDescent="0.25">
      <c r="B17" s="31">
        <f>+[1]PERSONAL!B12</f>
        <v>7</v>
      </c>
      <c r="C17" s="32" t="str">
        <f>+[1]PERSONAL!C14</f>
        <v>CCALLA SUCACAHUA JOHN JULIO</v>
      </c>
      <c r="D17" s="33">
        <f>+[1]PERSONAL!D17</f>
        <v>0</v>
      </c>
      <c r="E17" s="34" t="str">
        <f>+[1]PERSONAL!F14</f>
        <v>Peón</v>
      </c>
      <c r="F17" s="34"/>
      <c r="G17" s="32"/>
      <c r="H17" s="35"/>
      <c r="I17" s="36"/>
      <c r="J17" s="37"/>
      <c r="K17" s="34"/>
      <c r="L17" s="34"/>
      <c r="M17" s="34"/>
      <c r="N17" s="34"/>
      <c r="O17" s="34"/>
      <c r="P17" s="34"/>
      <c r="Q17" s="34"/>
      <c r="R17" s="34"/>
      <c r="S17" s="34">
        <v>8</v>
      </c>
      <c r="T17" s="34">
        <v>8</v>
      </c>
      <c r="U17" s="34">
        <v>8</v>
      </c>
      <c r="V17" s="34">
        <v>8</v>
      </c>
      <c r="W17" s="49"/>
      <c r="X17" s="34">
        <v>4</v>
      </c>
      <c r="Y17" s="34">
        <v>8</v>
      </c>
      <c r="Z17" s="34">
        <v>8</v>
      </c>
      <c r="AA17" s="34">
        <v>8</v>
      </c>
      <c r="AB17" s="47">
        <f t="shared" si="4"/>
        <v>60</v>
      </c>
      <c r="AC17" s="50">
        <v>1400</v>
      </c>
      <c r="AD17" s="50">
        <f t="shared" si="1"/>
        <v>6.25</v>
      </c>
      <c r="AE17" s="50">
        <f t="shared" si="2"/>
        <v>50</v>
      </c>
      <c r="AF17" s="38">
        <v>2</v>
      </c>
      <c r="AG17" s="46">
        <f t="shared" si="3"/>
        <v>475</v>
      </c>
    </row>
    <row r="18" spans="2:33" s="24" customFormat="1" ht="18" customHeight="1" thickBot="1" x14ac:dyDescent="0.25">
      <c r="AG18" s="39">
        <f>SUM(AG11:AG17)</f>
        <v>6353.5714285714294</v>
      </c>
    </row>
    <row r="19" spans="2:33" s="24" customFormat="1" ht="15.75" customHeight="1" x14ac:dyDescent="0.2">
      <c r="C19" s="40" t="s">
        <v>93</v>
      </c>
      <c r="D19" s="40"/>
    </row>
    <row r="20" spans="2:33" s="24" customFormat="1" ht="12" x14ac:dyDescent="0.2">
      <c r="C20" s="41" t="s">
        <v>94</v>
      </c>
      <c r="D20" s="41"/>
      <c r="AB20" s="24">
        <v>1050</v>
      </c>
    </row>
    <row r="21" spans="2:33" s="24" customFormat="1" ht="12" x14ac:dyDescent="0.2">
      <c r="AB21" s="24">
        <f>+AB20/AB11</f>
        <v>10.9375</v>
      </c>
    </row>
  </sheetData>
  <mergeCells count="22">
    <mergeCell ref="G8:I8"/>
    <mergeCell ref="G9:G10"/>
    <mergeCell ref="H9:H10"/>
    <mergeCell ref="I9:I10"/>
    <mergeCell ref="B2:AG2"/>
    <mergeCell ref="B3:AG3"/>
    <mergeCell ref="B4:AG4"/>
    <mergeCell ref="B5:AG5"/>
    <mergeCell ref="B6:AG6"/>
    <mergeCell ref="B7:AG7"/>
    <mergeCell ref="B8:B10"/>
    <mergeCell ref="C8:C10"/>
    <mergeCell ref="D8:D10"/>
    <mergeCell ref="E8:E10"/>
    <mergeCell ref="F8:F10"/>
    <mergeCell ref="J8:AA8"/>
    <mergeCell ref="AF8:AF10"/>
    <mergeCell ref="AG8:AG10"/>
    <mergeCell ref="AB8:AB10"/>
    <mergeCell ref="AD8:AD10"/>
    <mergeCell ref="AE8:AE10"/>
    <mergeCell ref="AC8:AC10"/>
  </mergeCells>
  <pageMargins left="0.7" right="0.7" top="0.75" bottom="0.75" header="0.3" footer="0.3"/>
  <pageSetup paperSize="9" scale="66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EBB5-7671-4BDE-BEC2-D0A2C92DD10D}">
  <sheetPr codeName="Hoja7">
    <tabColor rgb="FFFFFF00"/>
  </sheetPr>
  <dimension ref="A1:H9"/>
  <sheetViews>
    <sheetView workbookViewId="0">
      <selection activeCell="G22" sqref="G22"/>
    </sheetView>
  </sheetViews>
  <sheetFormatPr baseColWidth="10" defaultRowHeight="15" x14ac:dyDescent="0.25"/>
  <cols>
    <col min="1" max="1" width="7" customWidth="1"/>
    <col min="2" max="2" width="18.140625" customWidth="1"/>
    <col min="3" max="3" width="14.85546875" customWidth="1"/>
    <col min="4" max="5" width="18.42578125" customWidth="1"/>
    <col min="6" max="6" width="20.85546875" customWidth="1"/>
    <col min="7" max="7" width="15.5703125" customWidth="1"/>
  </cols>
  <sheetData>
    <row r="1" spans="1:8" x14ac:dyDescent="0.25">
      <c r="A1" s="8" t="s">
        <v>12</v>
      </c>
      <c r="B1" s="8" t="s">
        <v>59</v>
      </c>
      <c r="C1" s="8" t="s">
        <v>46</v>
      </c>
      <c r="D1" s="8" t="s">
        <v>44</v>
      </c>
      <c r="E1" s="8" t="s">
        <v>49</v>
      </c>
      <c r="F1" s="8" t="s">
        <v>50</v>
      </c>
    </row>
    <row r="2" spans="1:8" x14ac:dyDescent="0.25">
      <c r="A2" s="4"/>
      <c r="B2" s="4"/>
      <c r="C2" s="1"/>
      <c r="D2" s="1"/>
      <c r="E2" s="4"/>
      <c r="F2" s="4"/>
    </row>
    <row r="3" spans="1:8" x14ac:dyDescent="0.25">
      <c r="A3" s="4">
        <f>+A4+1</f>
        <v>1</v>
      </c>
      <c r="B3" s="6" t="s">
        <v>52</v>
      </c>
      <c r="C3" s="3" t="s">
        <v>63</v>
      </c>
      <c r="D3" s="3" t="s">
        <v>64</v>
      </c>
      <c r="E3" s="4" t="s">
        <v>56</v>
      </c>
      <c r="F3" s="4" t="s">
        <v>60</v>
      </c>
    </row>
    <row r="4" spans="1:8" x14ac:dyDescent="0.25">
      <c r="A4" s="6"/>
      <c r="B4" s="6"/>
      <c r="C4" s="3"/>
      <c r="D4" s="3"/>
      <c r="E4" s="3"/>
      <c r="F4" s="18"/>
    </row>
    <row r="6" spans="1:8" ht="30" x14ac:dyDescent="0.25">
      <c r="A6" s="8" t="s">
        <v>12</v>
      </c>
      <c r="B6" s="8" t="s">
        <v>21</v>
      </c>
      <c r="C6" s="8" t="s">
        <v>20</v>
      </c>
      <c r="D6" s="8" t="s">
        <v>22</v>
      </c>
      <c r="E6" s="8" t="s">
        <v>8</v>
      </c>
      <c r="F6" s="8" t="s">
        <v>5</v>
      </c>
      <c r="G6" s="8" t="s">
        <v>38</v>
      </c>
      <c r="H6" s="8" t="s">
        <v>6</v>
      </c>
    </row>
    <row r="7" spans="1:8" x14ac:dyDescent="0.25">
      <c r="A7" s="4"/>
      <c r="B7" s="17"/>
      <c r="C7" s="16"/>
      <c r="D7" s="16"/>
      <c r="E7" s="16"/>
      <c r="F7" s="16"/>
      <c r="G7" s="19" t="s">
        <v>43</v>
      </c>
      <c r="H7" s="12"/>
    </row>
    <row r="8" spans="1:8" x14ac:dyDescent="0.25">
      <c r="A8" s="4">
        <f>+A9+1</f>
        <v>1</v>
      </c>
      <c r="B8" s="17">
        <v>44444</v>
      </c>
      <c r="C8" s="16" t="s">
        <v>23</v>
      </c>
      <c r="D8" s="16" t="s">
        <v>37</v>
      </c>
      <c r="E8" s="11" t="s">
        <v>11</v>
      </c>
      <c r="F8" s="16" t="s">
        <v>42</v>
      </c>
      <c r="G8" s="7"/>
      <c r="H8" s="12">
        <v>315</v>
      </c>
    </row>
    <row r="9" spans="1:8" x14ac:dyDescent="0.25">
      <c r="A9" s="5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B344-B50D-45A5-AAA9-D986831ACFB9}">
  <sheetPr codeName="Hoja10">
    <tabColor rgb="FFFFFF00"/>
  </sheetPr>
  <dimension ref="A1:G21"/>
  <sheetViews>
    <sheetView workbookViewId="0">
      <selection activeCell="I7" sqref="I7"/>
    </sheetView>
  </sheetViews>
  <sheetFormatPr baseColWidth="10" defaultRowHeight="15" x14ac:dyDescent="0.25"/>
  <cols>
    <col min="1" max="1" width="8.28515625" customWidth="1"/>
    <col min="2" max="2" width="26" customWidth="1"/>
    <col min="4" max="4" width="20" customWidth="1"/>
  </cols>
  <sheetData>
    <row r="1" spans="1:7" x14ac:dyDescent="0.25">
      <c r="A1" s="98" t="s">
        <v>111</v>
      </c>
      <c r="B1" s="98"/>
      <c r="C1" s="98"/>
      <c r="D1" s="98"/>
      <c r="E1" s="98"/>
      <c r="F1" s="98"/>
      <c r="G1" s="98"/>
    </row>
    <row r="2" spans="1:7" x14ac:dyDescent="0.25">
      <c r="A2" s="8" t="s">
        <v>33</v>
      </c>
      <c r="B2" s="8" t="s">
        <v>4</v>
      </c>
      <c r="C2" s="8" t="s">
        <v>8</v>
      </c>
      <c r="D2" s="8" t="s">
        <v>5</v>
      </c>
      <c r="E2" s="8" t="s">
        <v>6</v>
      </c>
      <c r="F2" s="8" t="s">
        <v>108</v>
      </c>
      <c r="G2" s="8" t="s">
        <v>9</v>
      </c>
    </row>
    <row r="3" spans="1:7" x14ac:dyDescent="0.25">
      <c r="A3" s="9">
        <f>+A4+1</f>
        <v>3</v>
      </c>
      <c r="B3" s="10" t="s">
        <v>2</v>
      </c>
      <c r="C3" s="11" t="s">
        <v>11</v>
      </c>
      <c r="D3" s="10" t="s">
        <v>14</v>
      </c>
      <c r="E3" s="12">
        <v>6000</v>
      </c>
      <c r="F3" s="12">
        <v>6000</v>
      </c>
      <c r="G3" s="53">
        <f>+E3-F3</f>
        <v>0</v>
      </c>
    </row>
    <row r="4" spans="1:7" x14ac:dyDescent="0.25">
      <c r="A4" s="9">
        <f t="shared" ref="A4" si="0">+A5+1</f>
        <v>2</v>
      </c>
      <c r="B4" s="10" t="s">
        <v>2</v>
      </c>
      <c r="C4" s="11" t="s">
        <v>109</v>
      </c>
      <c r="D4" s="10" t="s">
        <v>14</v>
      </c>
      <c r="E4" s="12">
        <v>6000</v>
      </c>
      <c r="F4" s="12">
        <v>6000</v>
      </c>
      <c r="G4" s="53">
        <f t="shared" ref="G4:G5" si="1">+E4-F4</f>
        <v>0</v>
      </c>
    </row>
    <row r="5" spans="1:7" x14ac:dyDescent="0.25">
      <c r="A5" s="9">
        <f>1</f>
        <v>1</v>
      </c>
      <c r="B5" s="10" t="s">
        <v>2</v>
      </c>
      <c r="C5" s="11" t="s">
        <v>110</v>
      </c>
      <c r="D5" s="10" t="s">
        <v>14</v>
      </c>
      <c r="E5" s="12">
        <v>6000</v>
      </c>
      <c r="F5" s="12">
        <v>6000</v>
      </c>
      <c r="G5" s="53">
        <f t="shared" si="1"/>
        <v>0</v>
      </c>
    </row>
    <row r="6" spans="1:7" x14ac:dyDescent="0.25">
      <c r="A6" s="56"/>
      <c r="B6" s="57"/>
      <c r="C6" s="58"/>
      <c r="D6" s="57"/>
      <c r="E6" s="12">
        <f>SUM(E3:E5)</f>
        <v>18000</v>
      </c>
      <c r="F6" s="12">
        <f>SUM(F3:F5)</f>
        <v>18000</v>
      </c>
      <c r="G6" s="53">
        <f>SUM(G3:G5)</f>
        <v>0</v>
      </c>
    </row>
    <row r="7" spans="1:7" x14ac:dyDescent="0.25">
      <c r="A7" s="98" t="s">
        <v>113</v>
      </c>
      <c r="B7" s="98"/>
      <c r="C7" s="98"/>
      <c r="D7" s="98"/>
      <c r="E7" s="98"/>
      <c r="F7" s="98"/>
      <c r="G7" s="98"/>
    </row>
    <row r="8" spans="1:7" x14ac:dyDescent="0.25">
      <c r="A8" s="8" t="s">
        <v>33</v>
      </c>
      <c r="B8" s="8" t="s">
        <v>4</v>
      </c>
      <c r="C8" s="8" t="s">
        <v>8</v>
      </c>
      <c r="D8" s="8" t="s">
        <v>5</v>
      </c>
      <c r="E8" s="8" t="s">
        <v>6</v>
      </c>
      <c r="F8" s="8" t="s">
        <v>108</v>
      </c>
      <c r="G8" s="8" t="s">
        <v>9</v>
      </c>
    </row>
    <row r="9" spans="1:7" x14ac:dyDescent="0.25">
      <c r="A9" s="9">
        <f>+A10+1</f>
        <v>3</v>
      </c>
      <c r="B9" s="10" t="s">
        <v>2</v>
      </c>
      <c r="C9" s="11" t="s">
        <v>11</v>
      </c>
      <c r="D9" s="10" t="s">
        <v>14</v>
      </c>
      <c r="E9" s="12">
        <v>6000</v>
      </c>
      <c r="F9" s="12">
        <v>6000</v>
      </c>
      <c r="G9" s="53">
        <f>+E9-F9</f>
        <v>0</v>
      </c>
    </row>
    <row r="10" spans="1:7" x14ac:dyDescent="0.25">
      <c r="A10" s="9">
        <f t="shared" ref="A10" si="2">+A11+1</f>
        <v>2</v>
      </c>
      <c r="B10" s="10" t="s">
        <v>2</v>
      </c>
      <c r="C10" s="11" t="s">
        <v>109</v>
      </c>
      <c r="D10" s="10" t="s">
        <v>14</v>
      </c>
      <c r="E10" s="12">
        <v>6000</v>
      </c>
      <c r="F10" s="12">
        <v>6000</v>
      </c>
      <c r="G10" s="53">
        <f t="shared" ref="G10:G11" si="3">+E10-F10</f>
        <v>0</v>
      </c>
    </row>
    <row r="11" spans="1:7" x14ac:dyDescent="0.25">
      <c r="A11" s="9">
        <f>1</f>
        <v>1</v>
      </c>
      <c r="B11" s="10" t="s">
        <v>2</v>
      </c>
      <c r="C11" s="11" t="s">
        <v>110</v>
      </c>
      <c r="D11" s="10" t="s">
        <v>14</v>
      </c>
      <c r="E11" s="12">
        <v>6000</v>
      </c>
      <c r="F11" s="12">
        <v>6000</v>
      </c>
      <c r="G11" s="53">
        <f t="shared" si="3"/>
        <v>0</v>
      </c>
    </row>
    <row r="12" spans="1:7" x14ac:dyDescent="0.25">
      <c r="A12" s="56"/>
      <c r="B12" s="57"/>
      <c r="C12" s="58"/>
      <c r="D12" s="57"/>
      <c r="E12" s="12">
        <f>SUM(E9:E11)</f>
        <v>18000</v>
      </c>
      <c r="F12" s="12">
        <f>SUM(F9:F11)</f>
        <v>18000</v>
      </c>
      <c r="G12" s="53">
        <f>SUM(G9:G11)</f>
        <v>0</v>
      </c>
    </row>
    <row r="13" spans="1:7" x14ac:dyDescent="0.25">
      <c r="A13" s="98" t="s">
        <v>112</v>
      </c>
      <c r="B13" s="98"/>
      <c r="C13" s="98"/>
      <c r="D13" s="98"/>
      <c r="E13" s="98"/>
      <c r="F13" s="98"/>
      <c r="G13" s="98"/>
    </row>
    <row r="14" spans="1:7" x14ac:dyDescent="0.25">
      <c r="A14" s="8" t="s">
        <v>33</v>
      </c>
      <c r="B14" s="8" t="s">
        <v>4</v>
      </c>
      <c r="C14" s="8" t="s">
        <v>8</v>
      </c>
      <c r="D14" s="8" t="s">
        <v>5</v>
      </c>
      <c r="E14" s="8" t="s">
        <v>6</v>
      </c>
      <c r="F14" s="8" t="s">
        <v>108</v>
      </c>
      <c r="G14" s="8" t="s">
        <v>9</v>
      </c>
    </row>
    <row r="15" spans="1:7" x14ac:dyDescent="0.25">
      <c r="A15" s="9">
        <f>+A16+1</f>
        <v>3</v>
      </c>
      <c r="B15" s="10" t="s">
        <v>2</v>
      </c>
      <c r="C15" s="11" t="s">
        <v>11</v>
      </c>
      <c r="D15" s="10" t="s">
        <v>14</v>
      </c>
      <c r="E15" s="12">
        <v>6000</v>
      </c>
      <c r="F15" s="12">
        <v>6000</v>
      </c>
      <c r="G15" s="53">
        <f>+E15-F15</f>
        <v>0</v>
      </c>
    </row>
    <row r="16" spans="1:7" x14ac:dyDescent="0.25">
      <c r="A16" s="9">
        <f t="shared" ref="A16" si="4">+A17+1</f>
        <v>2</v>
      </c>
      <c r="B16" s="10" t="s">
        <v>2</v>
      </c>
      <c r="C16" s="11" t="s">
        <v>109</v>
      </c>
      <c r="D16" s="10" t="s">
        <v>14</v>
      </c>
      <c r="E16" s="12">
        <v>6000</v>
      </c>
      <c r="F16" s="12">
        <v>6000</v>
      </c>
      <c r="G16" s="53">
        <f t="shared" ref="G16:G17" si="5">+E16-F16</f>
        <v>0</v>
      </c>
    </row>
    <row r="17" spans="1:7" x14ac:dyDescent="0.25">
      <c r="A17" s="9">
        <f>1</f>
        <v>1</v>
      </c>
      <c r="B17" s="10" t="s">
        <v>2</v>
      </c>
      <c r="C17" s="11" t="s">
        <v>110</v>
      </c>
      <c r="D17" s="10" t="s">
        <v>14</v>
      </c>
      <c r="E17" s="12">
        <v>6000</v>
      </c>
      <c r="F17" s="12">
        <v>6000</v>
      </c>
      <c r="G17" s="53">
        <f t="shared" si="5"/>
        <v>0</v>
      </c>
    </row>
    <row r="18" spans="1:7" x14ac:dyDescent="0.25">
      <c r="E18" s="21">
        <f>SUM(E15:E17)</f>
        <v>18000</v>
      </c>
      <c r="F18" s="21">
        <f>SUM(F15:F17)</f>
        <v>18000</v>
      </c>
      <c r="G18" s="59">
        <f>SUM(G15:G17)</f>
        <v>0</v>
      </c>
    </row>
    <row r="19" spans="1:7" x14ac:dyDescent="0.25">
      <c r="A19" s="100" t="s">
        <v>104</v>
      </c>
      <c r="B19" s="101"/>
      <c r="C19" s="101"/>
      <c r="D19" s="101"/>
      <c r="E19" s="101"/>
      <c r="F19" s="101"/>
      <c r="G19" s="102"/>
    </row>
    <row r="20" spans="1:7" x14ac:dyDescent="0.25">
      <c r="A20" s="60"/>
      <c r="B20" s="61"/>
      <c r="C20" s="61"/>
      <c r="D20" s="61"/>
      <c r="E20" s="8" t="s">
        <v>6</v>
      </c>
      <c r="F20" s="8" t="s">
        <v>108</v>
      </c>
      <c r="G20" s="8" t="s">
        <v>9</v>
      </c>
    </row>
    <row r="21" spans="1:7" x14ac:dyDescent="0.25">
      <c r="A21" s="99" t="s">
        <v>104</v>
      </c>
      <c r="B21" s="99"/>
      <c r="C21" s="99"/>
      <c r="D21" s="99"/>
      <c r="E21" s="44">
        <f>+E6+E12+E18</f>
        <v>54000</v>
      </c>
      <c r="F21" s="44">
        <f t="shared" ref="F21:G21" si="6">+F6+F12+F18</f>
        <v>54000</v>
      </c>
      <c r="G21" s="44">
        <f t="shared" si="6"/>
        <v>0</v>
      </c>
    </row>
  </sheetData>
  <mergeCells count="5">
    <mergeCell ref="A1:G1"/>
    <mergeCell ref="A7:G7"/>
    <mergeCell ref="A13:G13"/>
    <mergeCell ref="A21:D21"/>
    <mergeCell ref="A19:G1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8C1D-D4AA-4974-96D6-1718E74E4F65}">
  <sheetPr codeName="Hoja4"/>
  <dimension ref="A2:E7"/>
  <sheetViews>
    <sheetView tabSelected="1" workbookViewId="0">
      <selection activeCell="B23" sqref="B23"/>
    </sheetView>
  </sheetViews>
  <sheetFormatPr baseColWidth="10" defaultRowHeight="15" x14ac:dyDescent="0.25"/>
  <cols>
    <col min="1" max="1" width="19.85546875" customWidth="1"/>
    <col min="2" max="2" width="17.85546875" customWidth="1"/>
    <col min="3" max="3" width="17.42578125" customWidth="1"/>
    <col min="4" max="4" width="21" customWidth="1"/>
    <col min="5" max="5" width="23.140625" customWidth="1"/>
  </cols>
  <sheetData>
    <row r="2" spans="1:5" x14ac:dyDescent="0.25">
      <c r="A2" s="5" t="s">
        <v>20</v>
      </c>
      <c r="B2" s="5" t="s">
        <v>15</v>
      </c>
      <c r="C2" s="5" t="s">
        <v>39</v>
      </c>
      <c r="D2" s="5" t="s">
        <v>51</v>
      </c>
      <c r="E2" s="5" t="s">
        <v>54</v>
      </c>
    </row>
    <row r="3" spans="1:5" x14ac:dyDescent="0.25">
      <c r="A3" s="7" t="s">
        <v>23</v>
      </c>
      <c r="B3" s="7" t="s">
        <v>16</v>
      </c>
      <c r="C3" s="7" t="s">
        <v>41</v>
      </c>
      <c r="D3" s="7" t="s">
        <v>52</v>
      </c>
      <c r="E3" s="7" t="s">
        <v>56</v>
      </c>
    </row>
    <row r="4" spans="1:5" x14ac:dyDescent="0.25">
      <c r="A4" s="7" t="s">
        <v>24</v>
      </c>
      <c r="B4" s="7" t="s">
        <v>17</v>
      </c>
      <c r="C4" s="7" t="s">
        <v>40</v>
      </c>
      <c r="D4" s="7" t="s">
        <v>53</v>
      </c>
      <c r="E4" s="7" t="s">
        <v>55</v>
      </c>
    </row>
    <row r="5" spans="1:5" x14ac:dyDescent="0.25">
      <c r="A5" s="7" t="s">
        <v>25</v>
      </c>
      <c r="B5" s="7" t="s">
        <v>18</v>
      </c>
      <c r="E5" s="7" t="s">
        <v>57</v>
      </c>
    </row>
    <row r="6" spans="1:5" x14ac:dyDescent="0.25">
      <c r="A6" s="7" t="s">
        <v>26</v>
      </c>
      <c r="B6" s="7"/>
      <c r="E6" s="7" t="s">
        <v>58</v>
      </c>
    </row>
    <row r="7" spans="1:5" x14ac:dyDescent="0.25">
      <c r="A7" s="7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</vt:i4>
      </vt:variant>
    </vt:vector>
  </HeadingPairs>
  <TitlesOfParts>
    <vt:vector size="14" baseType="lpstr">
      <vt:lpstr>INICIO</vt:lpstr>
      <vt:lpstr>AÑADIR PROVEEDOR-2</vt:lpstr>
      <vt:lpstr>AÑADIR COMPRA</vt:lpstr>
      <vt:lpstr>PAGOS</vt:lpstr>
      <vt:lpstr>AÑADIR SERVICIO</vt:lpstr>
      <vt:lpstr>CONTROL DE SERVICIO</vt:lpstr>
      <vt:lpstr>PAGOS DE SERVICIOS</vt:lpstr>
      <vt:lpstr>TRABAJADORES</vt:lpstr>
      <vt:lpstr>ASISTENCIA TRABAJADORES-1</vt:lpstr>
      <vt:lpstr>QUINCENA-1</vt:lpstr>
      <vt:lpstr>PAGO-TRABAJADORES</vt:lpstr>
      <vt:lpstr>RESUMEN GENERAL</vt:lpstr>
      <vt:lpstr>Hoja1</vt:lpstr>
      <vt:lpstr>'QUINCENA-1'!Área_de_impresión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PC</dc:creator>
  <cp:lastModifiedBy>Junior Cercado Vasquez</cp:lastModifiedBy>
  <dcterms:created xsi:type="dcterms:W3CDTF">2021-09-20T01:48:49Z</dcterms:created>
  <dcterms:modified xsi:type="dcterms:W3CDTF">2021-10-21T16:54:15Z</dcterms:modified>
</cp:coreProperties>
</file>